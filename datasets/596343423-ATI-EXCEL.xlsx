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0" yWindow="0" windowWidth="20496" windowHeight="7752" activeTab="3"/>
  </bookViews>
  <sheets>
    <sheet name="Base de datos" sheetId="1" r:id="rId1"/>
    <sheet name="Reporte 1" sheetId="2" r:id="rId2"/>
    <sheet name="Reporte 2" sheetId="3" r:id="rId3"/>
    <sheet name="Reporte 3" sheetId="4" r:id="rId4"/>
    <sheet name="Reporte 4" sheetId="5" r:id="rId5"/>
    <sheet name="Reporte 5" sheetId="6" r:id="rId6"/>
  </sheets>
  <definedNames>
    <definedName name="_xlnm._FilterDatabase" localSheetId="0" hidden="1">'Base de datos'!$B$5:$L$123</definedName>
  </definedNames>
  <calcPr calcId="144525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4" l="1"/>
  <c r="H17" i="4"/>
  <c r="H16" i="4"/>
  <c r="H23" i="4"/>
  <c r="H22" i="4"/>
  <c r="H21" i="4"/>
  <c r="H20" i="4"/>
  <c r="H18" i="4"/>
  <c r="H15" i="4"/>
  <c r="H13" i="4"/>
  <c r="H14" i="4"/>
  <c r="H12" i="4"/>
  <c r="H11" i="4"/>
  <c r="H10" i="4"/>
  <c r="H9" i="4"/>
  <c r="H8" i="4"/>
  <c r="H7" i="4"/>
  <c r="H6" i="4"/>
  <c r="H26" i="4" s="1"/>
  <c r="C26" i="4"/>
  <c r="K7" i="1" l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6" i="1"/>
  <c r="L6" i="1" s="1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E32" i="3" l="1"/>
  <c r="E30" i="3"/>
  <c r="E41" i="3"/>
  <c r="E42" i="3"/>
  <c r="E29" i="3"/>
  <c r="E40" i="3"/>
  <c r="E36" i="3"/>
  <c r="E35" i="3"/>
  <c r="E31" i="3"/>
  <c r="E37" i="3"/>
  <c r="E33" i="3"/>
  <c r="E39" i="3"/>
  <c r="E38" i="3"/>
  <c r="E34" i="3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B19" i="2"/>
  <c r="C9" i="6"/>
  <c r="D8" i="6" s="1"/>
  <c r="C15" i="6"/>
  <c r="C14" i="6"/>
  <c r="E5" i="2" l="1"/>
  <c r="E8" i="2"/>
  <c r="E13" i="2"/>
  <c r="E9" i="2"/>
  <c r="E10" i="2"/>
  <c r="E17" i="2"/>
  <c r="E12" i="2"/>
  <c r="E15" i="2"/>
  <c r="E11" i="2"/>
  <c r="E16" i="2"/>
  <c r="E44" i="3"/>
  <c r="E18" i="2"/>
  <c r="E14" i="2"/>
  <c r="E6" i="2"/>
  <c r="E7" i="2"/>
  <c r="D7" i="6"/>
  <c r="D9" i="6"/>
  <c r="C16" i="6"/>
  <c r="D14" i="6" s="1"/>
  <c r="E19" i="2" l="1"/>
  <c r="D15" i="6"/>
  <c r="D16" i="6" s="1"/>
</calcChain>
</file>

<file path=xl/sharedStrings.xml><?xml version="1.0" encoding="utf-8"?>
<sst xmlns="http://schemas.openxmlformats.org/spreadsheetml/2006/main" count="576" uniqueCount="116">
  <si>
    <t>Nombre del producto</t>
  </si>
  <si>
    <t>Coodigo de barras</t>
  </si>
  <si>
    <t>Existencia</t>
  </si>
  <si>
    <t>Marca</t>
  </si>
  <si>
    <t xml:space="preserve">Precio de Venta </t>
  </si>
  <si>
    <t>No. De Ventas</t>
  </si>
  <si>
    <t>Precio de Compra</t>
  </si>
  <si>
    <t xml:space="preserve"> </t>
  </si>
  <si>
    <t xml:space="preserve">BASE DE DATOS DE UNA PAPELERIA  </t>
  </si>
  <si>
    <t>Color</t>
  </si>
  <si>
    <t>Sacapuntas de plastico</t>
  </si>
  <si>
    <t>Rojo</t>
  </si>
  <si>
    <t>Azul</t>
  </si>
  <si>
    <t>Verde</t>
  </si>
  <si>
    <t>Morado</t>
  </si>
  <si>
    <t xml:space="preserve">Naranja </t>
  </si>
  <si>
    <t>Amarillo</t>
  </si>
  <si>
    <t xml:space="preserve">Pelikan </t>
  </si>
  <si>
    <t>Maped</t>
  </si>
  <si>
    <t>Rosa</t>
  </si>
  <si>
    <t>Negro</t>
  </si>
  <si>
    <t>Norma</t>
  </si>
  <si>
    <t>Borrador de goma</t>
  </si>
  <si>
    <t xml:space="preserve">Borrador de migajon </t>
  </si>
  <si>
    <t>Blanco</t>
  </si>
  <si>
    <t>Beige</t>
  </si>
  <si>
    <t>Prismacolor</t>
  </si>
  <si>
    <t>FaberCastell</t>
  </si>
  <si>
    <t>Pegamento liquido</t>
  </si>
  <si>
    <t>Pegamento en barra</t>
  </si>
  <si>
    <t>Elmer's</t>
  </si>
  <si>
    <t>Bully</t>
  </si>
  <si>
    <t>Dixon</t>
  </si>
  <si>
    <t>Resistol</t>
  </si>
  <si>
    <t>Lápiz</t>
  </si>
  <si>
    <t>Arcoiris</t>
  </si>
  <si>
    <t>Papper Mate</t>
  </si>
  <si>
    <t>Bic</t>
  </si>
  <si>
    <t>Magistral</t>
  </si>
  <si>
    <t>Plumon para pizarron</t>
  </si>
  <si>
    <t>Expo</t>
  </si>
  <si>
    <t>Caja de colores 24pz</t>
  </si>
  <si>
    <t>Crayola</t>
  </si>
  <si>
    <t>Boligrafo</t>
  </si>
  <si>
    <t>Pilot</t>
  </si>
  <si>
    <t>Azor</t>
  </si>
  <si>
    <t>Pintura Acrilica</t>
  </si>
  <si>
    <t>Roja</t>
  </si>
  <si>
    <t>Café</t>
  </si>
  <si>
    <t>Gris</t>
  </si>
  <si>
    <t>Politec</t>
  </si>
  <si>
    <t>gris</t>
  </si>
  <si>
    <t>Libreta de Cuadros</t>
  </si>
  <si>
    <t>Libreta de Rayas</t>
  </si>
  <si>
    <t xml:space="preserve">Scribe </t>
  </si>
  <si>
    <t>Cartulina</t>
  </si>
  <si>
    <t xml:space="preserve">Rojo </t>
  </si>
  <si>
    <t>Tony</t>
  </si>
  <si>
    <t>Hoja</t>
  </si>
  <si>
    <t xml:space="preserve">2) Ganancia de productos </t>
  </si>
  <si>
    <t xml:space="preserve">3)Numero de proudctos en existencia  por marca </t>
  </si>
  <si>
    <t>4) % de ventas en cajas de colores por sus marcas</t>
  </si>
  <si>
    <t>1) Monto recaudado por producto ya vendido</t>
  </si>
  <si>
    <t>FILTROS</t>
  </si>
  <si>
    <t xml:space="preserve">Tipo de libera </t>
  </si>
  <si>
    <t>Porcentaje</t>
  </si>
  <si>
    <t xml:space="preserve">Cantidad de libretas vendidas </t>
  </si>
  <si>
    <t>TOTAL</t>
  </si>
  <si>
    <t>5 ) Porcentaje en libertas vendidas de rayas y cuadros</t>
  </si>
  <si>
    <t>FORMULAS</t>
  </si>
  <si>
    <t>Etiquetas de fila</t>
  </si>
  <si>
    <t>Total general</t>
  </si>
  <si>
    <t>Suma de No. De Ventas</t>
  </si>
  <si>
    <t>TABLA DINÁMICA</t>
  </si>
  <si>
    <t>Producto</t>
  </si>
  <si>
    <t>Monto</t>
  </si>
  <si>
    <t>Borrador de migajon</t>
  </si>
  <si>
    <t>MONTO</t>
  </si>
  <si>
    <t>TABLA DINAMICA</t>
  </si>
  <si>
    <t>Row Labels</t>
  </si>
  <si>
    <t>Grand Total</t>
  </si>
  <si>
    <t>Sum of MONTO</t>
  </si>
  <si>
    <t>Filtros</t>
  </si>
  <si>
    <t>Total Ventas</t>
  </si>
  <si>
    <t>Ganancia</t>
  </si>
  <si>
    <t>Sacapuntas de Plastico</t>
  </si>
  <si>
    <t>Borrador de Goma</t>
  </si>
  <si>
    <t>Borrador de Migajon</t>
  </si>
  <si>
    <t>Pegamento Líquido</t>
  </si>
  <si>
    <t>Pegamento en Barra</t>
  </si>
  <si>
    <t xml:space="preserve">Plumon Para Pizarron </t>
  </si>
  <si>
    <t>Caja de Colores</t>
  </si>
  <si>
    <t>Bolígrafo</t>
  </si>
  <si>
    <t>Pintura Acrílica</t>
  </si>
  <si>
    <t>Formulas</t>
  </si>
  <si>
    <t>Ganancia por venta</t>
  </si>
  <si>
    <t>Ganancia por total vendido</t>
  </si>
  <si>
    <t>Tabla Dinámica</t>
  </si>
  <si>
    <t>Suma de Total Ventas</t>
  </si>
  <si>
    <t>Suma de Ganancia</t>
  </si>
  <si>
    <t>TOTAL DE GANANCIA</t>
  </si>
  <si>
    <t xml:space="preserve">Total de Ganancia: </t>
  </si>
  <si>
    <t xml:space="preserve"># de productos </t>
  </si>
  <si>
    <t xml:space="preserve">Barrilito </t>
  </si>
  <si>
    <t xml:space="preserve">Bic </t>
  </si>
  <si>
    <t xml:space="preserve">Bully </t>
  </si>
  <si>
    <t xml:space="preserve">Crayola </t>
  </si>
  <si>
    <t xml:space="preserve">Dixon </t>
  </si>
  <si>
    <t>Faber Castell</t>
  </si>
  <si>
    <t xml:space="preserve">Norma </t>
  </si>
  <si>
    <t xml:space="preserve">Resistol </t>
  </si>
  <si>
    <t>Scribe</t>
  </si>
  <si>
    <t xml:space="preserve">TOTAL </t>
  </si>
  <si>
    <t xml:space="preserve">TABLA DINAMICA </t>
  </si>
  <si>
    <t>Suma de Existencia</t>
  </si>
  <si>
    <t>Barrilito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</si>
</sst>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1" applyFont="1" applyBorder="1"/>
    <xf numFmtId="44" fontId="0" fillId="0" borderId="0" xfId="1" applyFont="1" applyBorder="1"/>
    <xf numFmtId="44" fontId="0" fillId="2" borderId="1" xfId="1" applyFont="1" applyFill="1" applyBorder="1" applyAlignment="1">
      <alignment horizontal="center"/>
    </xf>
    <xf numFmtId="44" fontId="0" fillId="0" borderId="0" xfId="1" applyFont="1"/>
    <xf numFmtId="44" fontId="0" fillId="2" borderId="2" xfId="1" applyFont="1" applyFill="1" applyBorder="1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0" borderId="0" xfId="0" applyFill="1" applyAlignment="1"/>
    <xf numFmtId="0" fontId="2" fillId="0" borderId="1" xfId="0" applyFont="1" applyBorder="1" applyAlignment="1">
      <alignment horizontal="center"/>
    </xf>
    <xf numFmtId="0" fontId="2" fillId="0" borderId="0" xfId="0" applyFont="1"/>
    <xf numFmtId="9" fontId="0" fillId="2" borderId="1" xfId="0" applyNumberForma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3" xfId="0" applyBorder="1"/>
    <xf numFmtId="164" fontId="0" fillId="0" borderId="0" xfId="0" applyNumberFormat="1"/>
    <xf numFmtId="0" fontId="0" fillId="0" borderId="3" xfId="0" applyFill="1" applyBorder="1"/>
    <xf numFmtId="0" fontId="0" fillId="2" borderId="0" xfId="0" applyFill="1"/>
    <xf numFmtId="44" fontId="0" fillId="0" borderId="3" xfId="1" applyFont="1" applyBorder="1"/>
    <xf numFmtId="44" fontId="0" fillId="0" borderId="3" xfId="1" applyFont="1" applyFill="1" applyBorder="1"/>
    <xf numFmtId="0" fontId="0" fillId="5" borderId="3" xfId="0" applyFill="1" applyBorder="1"/>
    <xf numFmtId="44" fontId="0" fillId="0" borderId="0" xfId="0" applyNumberFormat="1"/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4" borderId="3" xfId="0" applyFill="1" applyBorder="1"/>
    <xf numFmtId="44" fontId="0" fillId="0" borderId="3" xfId="0" applyNumberFormat="1" applyBorder="1"/>
    <xf numFmtId="0" fontId="0" fillId="0" borderId="0" xfId="0" applyFill="1" applyAlignment="1">
      <alignment horizontal="center"/>
    </xf>
    <xf numFmtId="0" fontId="0" fillId="0" borderId="0" xfId="0" applyFill="1" applyBorder="1" applyAlignment="1"/>
    <xf numFmtId="0" fontId="5" fillId="6" borderId="6" xfId="0" applyFont="1" applyFill="1" applyBorder="1"/>
    <xf numFmtId="0" fontId="5" fillId="6" borderId="7" xfId="0" applyFont="1" applyFill="1" applyBorder="1"/>
    <xf numFmtId="0" fontId="5" fillId="6" borderId="8" xfId="0" applyFont="1" applyFill="1" applyBorder="1"/>
    <xf numFmtId="0" fontId="5" fillId="6" borderId="1" xfId="0" applyFont="1" applyFill="1" applyBorder="1"/>
    <xf numFmtId="0" fontId="5" fillId="0" borderId="0" xfId="0" applyFont="1"/>
    <xf numFmtId="44" fontId="5" fillId="0" borderId="0" xfId="0" applyNumberFormat="1" applyFont="1"/>
    <xf numFmtId="3" fontId="5" fillId="0" borderId="0" xfId="0" applyNumberFormat="1" applyFont="1"/>
    <xf numFmtId="0" fontId="0" fillId="5" borderId="0" xfId="0" applyFill="1"/>
    <xf numFmtId="0" fontId="6" fillId="0" borderId="0" xfId="0" applyFont="1" applyAlignment="1">
      <alignment horizontal="left"/>
    </xf>
    <xf numFmtId="0" fontId="6" fillId="0" borderId="0" xfId="0" applyNumberFormat="1" applyFont="1"/>
    <xf numFmtId="0" fontId="6" fillId="0" borderId="1" xfId="0" pivotButton="1" applyFont="1" applyBorder="1"/>
    <xf numFmtId="0" fontId="6" fillId="0" borderId="1" xfId="0" applyFont="1" applyBorder="1"/>
    <xf numFmtId="0" fontId="7" fillId="7" borderId="1" xfId="0" applyFont="1" applyFill="1" applyBorder="1"/>
    <xf numFmtId="44" fontId="6" fillId="0" borderId="1" xfId="0" applyNumberFormat="1" applyFont="1" applyBorder="1"/>
    <xf numFmtId="0" fontId="6" fillId="7" borderId="1" xfId="0" applyFont="1" applyFill="1" applyBorder="1"/>
    <xf numFmtId="4" fontId="7" fillId="0" borderId="1" xfId="0" applyNumberFormat="1" applyFont="1" applyBorder="1"/>
    <xf numFmtId="0" fontId="6" fillId="0" borderId="0" xfId="0" applyFont="1"/>
    <xf numFmtId="0" fontId="6" fillId="0" borderId="0" xfId="0" pivotButton="1" applyFont="1"/>
    <xf numFmtId="0" fontId="2" fillId="3" borderId="5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6" fillId="0" borderId="3" xfId="0" applyFont="1" applyBorder="1"/>
    <xf numFmtId="0" fontId="9" fillId="2" borderId="9" xfId="0" applyFont="1" applyFill="1" applyBorder="1"/>
    <xf numFmtId="0" fontId="10" fillId="0" borderId="3" xfId="0" applyFont="1" applyBorder="1"/>
    <xf numFmtId="0" fontId="0" fillId="0" borderId="3" xfId="0" applyFont="1" applyBorder="1"/>
    <xf numFmtId="0" fontId="6" fillId="0" borderId="10" xfId="0" applyFont="1" applyBorder="1"/>
    <xf numFmtId="0" fontId="6" fillId="0" borderId="11" xfId="0" applyFont="1" applyBorder="1"/>
  </cellXfs>
  <cellStyles count="3">
    <cellStyle name="Moneda" xfId="1" builtinId="4"/>
    <cellStyle name="Normal" xfId="0" builtinId="0"/>
    <cellStyle name="Porcentaje" xfId="2" builtinId="5"/>
  </cellStyles>
  <dxfs count="19">
    <dxf>
      <numFmt numFmtId="13" formatCode="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Reporte #1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1'!$B$4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'Reporte 1'!$A$5:$A$18</c:f>
              <c:strCache>
                <c:ptCount val="14"/>
                <c:pt idx="0">
                  <c:v>Boligrafo</c:v>
                </c:pt>
                <c:pt idx="1">
                  <c:v>Borrador de goma</c:v>
                </c:pt>
                <c:pt idx="2">
                  <c:v>Borrador de migajon</c:v>
                </c:pt>
                <c:pt idx="3">
                  <c:v>Caja de colores 24pz</c:v>
                </c:pt>
                <c:pt idx="4">
                  <c:v>Cartulina</c:v>
                </c:pt>
                <c:pt idx="5">
                  <c:v>Hoja</c:v>
                </c:pt>
                <c:pt idx="6">
                  <c:v>Lápiz</c:v>
                </c:pt>
                <c:pt idx="7">
                  <c:v>Libreta de Cuadros</c:v>
                </c:pt>
                <c:pt idx="8">
                  <c:v>Libreta de Rayas</c:v>
                </c:pt>
                <c:pt idx="9">
                  <c:v>Pegamento en barra</c:v>
                </c:pt>
                <c:pt idx="10">
                  <c:v>Pegamento liquido</c:v>
                </c:pt>
                <c:pt idx="11">
                  <c:v>Pintura Acrilica</c:v>
                </c:pt>
                <c:pt idx="12">
                  <c:v>Plumon para pizarron</c:v>
                </c:pt>
                <c:pt idx="13">
                  <c:v>Sacapuntas de plastico</c:v>
                </c:pt>
              </c:strCache>
            </c:strRef>
          </c:cat>
          <c:val>
            <c:numRef>
              <c:f>'Reporte 1'!$B$5:$B$18</c:f>
              <c:numCache>
                <c:formatCode>_("$"* #,##0.00_);_("$"* \(#,##0.00\);_("$"* "-"??_);_(@_)</c:formatCode>
                <c:ptCount val="14"/>
                <c:pt idx="0">
                  <c:v>4468</c:v>
                </c:pt>
                <c:pt idx="1">
                  <c:v>2693</c:v>
                </c:pt>
                <c:pt idx="2">
                  <c:v>4519</c:v>
                </c:pt>
                <c:pt idx="3">
                  <c:v>53622</c:v>
                </c:pt>
                <c:pt idx="4">
                  <c:v>1840</c:v>
                </c:pt>
                <c:pt idx="5">
                  <c:v>790</c:v>
                </c:pt>
                <c:pt idx="6">
                  <c:v>1414</c:v>
                </c:pt>
                <c:pt idx="7">
                  <c:v>38430</c:v>
                </c:pt>
                <c:pt idx="8">
                  <c:v>44495</c:v>
                </c:pt>
                <c:pt idx="9">
                  <c:v>4203</c:v>
                </c:pt>
                <c:pt idx="10">
                  <c:v>6320</c:v>
                </c:pt>
                <c:pt idx="11">
                  <c:v>8115</c:v>
                </c:pt>
                <c:pt idx="12">
                  <c:v>11530</c:v>
                </c:pt>
                <c:pt idx="13">
                  <c:v>8991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85C-4690-93F8-EAE8E8C9B2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7442304"/>
        <c:axId val="207444992"/>
      </c:barChart>
      <c:catAx>
        <c:axId val="20744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7444992"/>
        <c:crosses val="autoZero"/>
        <c:auto val="1"/>
        <c:lblAlgn val="ctr"/>
        <c:lblOffset val="100"/>
        <c:noMultiLvlLbl val="0"/>
      </c:catAx>
      <c:valAx>
        <c:axId val="207444992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0744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Gráfica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'Reporte 2'!$D$28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'Reporte 2'!$C$29:$C$42</c:f>
              <c:strCache>
                <c:ptCount val="14"/>
                <c:pt idx="0">
                  <c:v>Sacapuntas de Plastico</c:v>
                </c:pt>
                <c:pt idx="1">
                  <c:v>Borrador de Goma</c:v>
                </c:pt>
                <c:pt idx="2">
                  <c:v>Borrador de Migajon</c:v>
                </c:pt>
                <c:pt idx="3">
                  <c:v>Pegamento Líquido</c:v>
                </c:pt>
                <c:pt idx="4">
                  <c:v>Pegamento en Barra</c:v>
                </c:pt>
                <c:pt idx="5">
                  <c:v>Lápiz</c:v>
                </c:pt>
                <c:pt idx="6">
                  <c:v>Plumon Para Pizarron </c:v>
                </c:pt>
                <c:pt idx="7">
                  <c:v>Caja de Colores</c:v>
                </c:pt>
                <c:pt idx="8">
                  <c:v>Bolígrafo</c:v>
                </c:pt>
                <c:pt idx="9">
                  <c:v>Pintura Acrílica</c:v>
                </c:pt>
                <c:pt idx="10">
                  <c:v>Libreta de Rayas</c:v>
                </c:pt>
                <c:pt idx="11">
                  <c:v>Libreta de Cuadros</c:v>
                </c:pt>
                <c:pt idx="12">
                  <c:v>Cartulina</c:v>
                </c:pt>
                <c:pt idx="13">
                  <c:v>Hoja</c:v>
                </c:pt>
              </c:strCache>
            </c:strRef>
          </c:cat>
          <c:val>
            <c:numRef>
              <c:f>'Reporte 2'!$D$29:$D$42</c:f>
              <c:numCache>
                <c:formatCode>General</c:formatCode>
                <c:ptCount val="14"/>
                <c:pt idx="0">
                  <c:v>570</c:v>
                </c:pt>
                <c:pt idx="1">
                  <c:v>168</c:v>
                </c:pt>
                <c:pt idx="2">
                  <c:v>95</c:v>
                </c:pt>
                <c:pt idx="3">
                  <c:v>164</c:v>
                </c:pt>
                <c:pt idx="4">
                  <c:v>215</c:v>
                </c:pt>
                <c:pt idx="5">
                  <c:v>224</c:v>
                </c:pt>
                <c:pt idx="6">
                  <c:v>348</c:v>
                </c:pt>
                <c:pt idx="7">
                  <c:v>345</c:v>
                </c:pt>
                <c:pt idx="8">
                  <c:v>430</c:v>
                </c:pt>
                <c:pt idx="9">
                  <c:v>541</c:v>
                </c:pt>
                <c:pt idx="10">
                  <c:v>669</c:v>
                </c:pt>
                <c:pt idx="11">
                  <c:v>590</c:v>
                </c:pt>
                <c:pt idx="12">
                  <c:v>368</c:v>
                </c:pt>
                <c:pt idx="13">
                  <c:v>395</c:v>
                </c:pt>
              </c:numCache>
            </c:numRef>
          </c:val>
        </c:ser>
        <c:ser>
          <c:idx val="1"/>
          <c:order val="1"/>
          <c:tx>
            <c:strRef>
              <c:f>'Reporte 2'!$E$28</c:f>
              <c:strCache>
                <c:ptCount val="1"/>
                <c:pt idx="0">
                  <c:v>Ganancia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'Reporte 2'!$C$29:$C$42</c:f>
              <c:strCache>
                <c:ptCount val="14"/>
                <c:pt idx="0">
                  <c:v>Sacapuntas de Plastico</c:v>
                </c:pt>
                <c:pt idx="1">
                  <c:v>Borrador de Goma</c:v>
                </c:pt>
                <c:pt idx="2">
                  <c:v>Borrador de Migajon</c:v>
                </c:pt>
                <c:pt idx="3">
                  <c:v>Pegamento Líquido</c:v>
                </c:pt>
                <c:pt idx="4">
                  <c:v>Pegamento en Barra</c:v>
                </c:pt>
                <c:pt idx="5">
                  <c:v>Lápiz</c:v>
                </c:pt>
                <c:pt idx="6">
                  <c:v>Plumon Para Pizarron </c:v>
                </c:pt>
                <c:pt idx="7">
                  <c:v>Caja de Colores</c:v>
                </c:pt>
                <c:pt idx="8">
                  <c:v>Bolígrafo</c:v>
                </c:pt>
                <c:pt idx="9">
                  <c:v>Pintura Acrílica</c:v>
                </c:pt>
                <c:pt idx="10">
                  <c:v>Libreta de Rayas</c:v>
                </c:pt>
                <c:pt idx="11">
                  <c:v>Libreta de Cuadros</c:v>
                </c:pt>
                <c:pt idx="12">
                  <c:v>Cartulina</c:v>
                </c:pt>
                <c:pt idx="13">
                  <c:v>Hoja</c:v>
                </c:pt>
              </c:strCache>
            </c:strRef>
          </c:cat>
          <c:val>
            <c:numRef>
              <c:f>'Reporte 2'!$E$29:$E$42</c:f>
              <c:numCache>
                <c:formatCode>_("$"* #,##0.00_);_("$"* \(#,##0.00\);_("$"* "-"??_);_(@_)</c:formatCode>
                <c:ptCount val="14"/>
                <c:pt idx="0">
                  <c:v>2850</c:v>
                </c:pt>
                <c:pt idx="1">
                  <c:v>1133</c:v>
                </c:pt>
                <c:pt idx="2">
                  <c:v>1724</c:v>
                </c:pt>
                <c:pt idx="3">
                  <c:v>1115</c:v>
                </c:pt>
                <c:pt idx="4">
                  <c:v>1658</c:v>
                </c:pt>
                <c:pt idx="5">
                  <c:v>515</c:v>
                </c:pt>
                <c:pt idx="6">
                  <c:v>3480</c:v>
                </c:pt>
                <c:pt idx="7">
                  <c:v>5142</c:v>
                </c:pt>
                <c:pt idx="8">
                  <c:v>1216</c:v>
                </c:pt>
                <c:pt idx="9">
                  <c:v>2705</c:v>
                </c:pt>
                <c:pt idx="10">
                  <c:v>15305</c:v>
                </c:pt>
                <c:pt idx="11">
                  <c:v>13295</c:v>
                </c:pt>
                <c:pt idx="12">
                  <c:v>1104</c:v>
                </c:pt>
                <c:pt idx="13">
                  <c:v>592.5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7618432"/>
        <c:axId val="207619968"/>
        <c:axId val="0"/>
      </c:bar3DChart>
      <c:catAx>
        <c:axId val="207618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7619968"/>
        <c:crosses val="autoZero"/>
        <c:auto val="1"/>
        <c:lblAlgn val="ctr"/>
        <c:lblOffset val="100"/>
        <c:noMultiLvlLbl val="0"/>
      </c:catAx>
      <c:valAx>
        <c:axId val="20761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761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[ATI-EXCEL.xlsx]Reporte 3!Tabla dinámica1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'Reporte 3'!$M$5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'Reporte 3'!$L$6:$L$26</c:f>
              <c:strCache>
                <c:ptCount val="20"/>
                <c:pt idx="0">
                  <c:v>Azor</c:v>
                </c:pt>
                <c:pt idx="1">
                  <c:v>Barrilito</c:v>
                </c:pt>
                <c:pt idx="2">
                  <c:v>Bic</c:v>
                </c:pt>
                <c:pt idx="3">
                  <c:v>Bully</c:v>
                </c:pt>
                <c:pt idx="4">
                  <c:v>Crayola</c:v>
                </c:pt>
                <c:pt idx="5">
                  <c:v>Dixon</c:v>
                </c:pt>
                <c:pt idx="6">
                  <c:v>Elmer's</c:v>
                </c:pt>
                <c:pt idx="7">
                  <c:v>Expo</c:v>
                </c:pt>
                <c:pt idx="8">
                  <c:v>FaberCastell</c:v>
                </c:pt>
                <c:pt idx="9">
                  <c:v>Magistral</c:v>
                </c:pt>
                <c:pt idx="10">
                  <c:v>Maped</c:v>
                </c:pt>
                <c:pt idx="11">
                  <c:v>Norma</c:v>
                </c:pt>
                <c:pt idx="12">
                  <c:v>Papper Mate</c:v>
                </c:pt>
                <c:pt idx="13">
                  <c:v>Pelikan </c:v>
                </c:pt>
                <c:pt idx="14">
                  <c:v>Pilot</c:v>
                </c:pt>
                <c:pt idx="15">
                  <c:v>Politec</c:v>
                </c:pt>
                <c:pt idx="16">
                  <c:v>Prismacolor</c:v>
                </c:pt>
                <c:pt idx="17">
                  <c:v>Resistol</c:v>
                </c:pt>
                <c:pt idx="18">
                  <c:v>Scribe </c:v>
                </c:pt>
                <c:pt idx="19">
                  <c:v>Tony</c:v>
                </c:pt>
              </c:strCache>
            </c:strRef>
          </c:cat>
          <c:val>
            <c:numRef>
              <c:f>'Reporte 3'!$M$6:$M$26</c:f>
              <c:numCache>
                <c:formatCode>General</c:formatCode>
                <c:ptCount val="20"/>
                <c:pt idx="0">
                  <c:v>24</c:v>
                </c:pt>
                <c:pt idx="1">
                  <c:v>12</c:v>
                </c:pt>
                <c:pt idx="2">
                  <c:v>114</c:v>
                </c:pt>
                <c:pt idx="3">
                  <c:v>40</c:v>
                </c:pt>
                <c:pt idx="4">
                  <c:v>17</c:v>
                </c:pt>
                <c:pt idx="5">
                  <c:v>54</c:v>
                </c:pt>
                <c:pt idx="6">
                  <c:v>29</c:v>
                </c:pt>
                <c:pt idx="7">
                  <c:v>65</c:v>
                </c:pt>
                <c:pt idx="8">
                  <c:v>25</c:v>
                </c:pt>
                <c:pt idx="9">
                  <c:v>103</c:v>
                </c:pt>
                <c:pt idx="10">
                  <c:v>128</c:v>
                </c:pt>
                <c:pt idx="11">
                  <c:v>304</c:v>
                </c:pt>
                <c:pt idx="12">
                  <c:v>65</c:v>
                </c:pt>
                <c:pt idx="13">
                  <c:v>104</c:v>
                </c:pt>
                <c:pt idx="14">
                  <c:v>50</c:v>
                </c:pt>
                <c:pt idx="15">
                  <c:v>168</c:v>
                </c:pt>
                <c:pt idx="16">
                  <c:v>56</c:v>
                </c:pt>
                <c:pt idx="17">
                  <c:v>36</c:v>
                </c:pt>
                <c:pt idx="18">
                  <c:v>214</c:v>
                </c:pt>
                <c:pt idx="19">
                  <c:v>332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libretas vendidas</a:t>
            </a:r>
          </a:p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0498381617494644"/>
          <c:w val="0.93862027877026144"/>
          <c:h val="0.677341320289372"/>
        </c:manualLayout>
      </c:layout>
      <c:pie3DChart>
        <c:varyColors val="1"/>
        <c:ser>
          <c:idx val="0"/>
          <c:order val="0"/>
          <c:tx>
            <c:strRef>
              <c:f>'Reporte 5'!$C$12:$C$13</c:f>
              <c:strCache>
                <c:ptCount val="1"/>
                <c:pt idx="0">
                  <c:v>FORMULAS Cantidad de libretas vendidas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F68-43B2-9DBB-89FFF4BEABE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1E92-4D62-8864-090F8A5586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'Reporte 5'!$B$14:$B$15</c:f>
              <c:strCache>
                <c:ptCount val="2"/>
                <c:pt idx="0">
                  <c:v>Libreta de Rayas</c:v>
                </c:pt>
                <c:pt idx="1">
                  <c:v>Libreta de Cuadros</c:v>
                </c:pt>
              </c:strCache>
            </c:strRef>
          </c:cat>
          <c:val>
            <c:numRef>
              <c:f>'Reporte 5'!$C$14:$C$15</c:f>
              <c:numCache>
                <c:formatCode>General</c:formatCode>
                <c:ptCount val="2"/>
                <c:pt idx="0">
                  <c:v>669</c:v>
                </c:pt>
                <c:pt idx="1">
                  <c:v>590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92-4D62-8864-090F8A55860A}"/>
            </c:ext>
          </c:extLst>
        </c:ser>
        <c:ser>
          <c:idx val="1"/>
          <c:order val="1"/>
          <c:tx>
            <c:strRef>
              <c:f>'Reporte 5'!$D$12:$D$13</c:f>
              <c:strCache>
                <c:ptCount val="1"/>
                <c:pt idx="0">
                  <c:v>FORMULAS 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F68-43B2-9DBB-89FFF4BEABE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F68-43B2-9DBB-89FFF4BEAB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'Reporte 5'!$B$14:$B$15</c:f>
              <c:strCache>
                <c:ptCount val="2"/>
                <c:pt idx="0">
                  <c:v>Libreta de Rayas</c:v>
                </c:pt>
                <c:pt idx="1">
                  <c:v>Libreta de Cuadros</c:v>
                </c:pt>
              </c:strCache>
            </c:strRef>
          </c:cat>
          <c:val>
            <c:numRef>
              <c:f>'Reporte 5'!$D$14:$D$15</c:f>
              <c:numCache>
                <c:formatCode>0%</c:formatCode>
                <c:ptCount val="2"/>
                <c:pt idx="0">
                  <c:v>0.53137410643367755</c:v>
                </c:pt>
                <c:pt idx="1">
                  <c:v>0.4686258935663225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E92-4D62-8864-090F8A55860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435428</xdr:colOff>
      <xdr:row>3</xdr:row>
      <xdr:rowOff>115466</xdr:rowOff>
    </xdr:from>
    <xdr:to>
      <xdr:col>15</xdr:col>
      <xdr:colOff>311020</xdr:colOff>
      <xdr:row>18</xdr:row>
      <xdr:rowOff>38877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73F99D9-6AD0-4719-9E7B-F99CD05D8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179914</xdr:colOff>
      <xdr:row>27</xdr:row>
      <xdr:rowOff>142875</xdr:rowOff>
    </xdr:from>
    <xdr:to>
      <xdr:col>17</xdr:col>
      <xdr:colOff>571499</xdr:colOff>
      <xdr:row>42</xdr:row>
      <xdr:rowOff>105832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510540</xdr:colOff>
      <xdr:row>4</xdr:row>
      <xdr:rowOff>11430</xdr:rowOff>
    </xdr:from>
    <xdr:to>
      <xdr:col>22</xdr:col>
      <xdr:colOff>236220</xdr:colOff>
      <xdr:row>25</xdr:row>
      <xdr:rowOff>15240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39436</xdr:colOff>
      <xdr:row>3</xdr:row>
      <xdr:rowOff>23520</xdr:rowOff>
    </xdr:from>
    <xdr:to>
      <xdr:col>12</xdr:col>
      <xdr:colOff>5317</xdr:colOff>
      <xdr:row>21</xdr:row>
      <xdr:rowOff>152871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5C33A7DD-A13A-42F7-B384-F9D6BACD5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4335.31866759259" createdVersion="7" refreshedVersion="7" minRefreshableVersion="3" recordCount="118">
  <cacheSource type="worksheet">
    <worksheetSource ref="B5:I123" sheet="Base de datos"/>
  </cacheSource>
  <cacheFields count="8">
    <cacheField name="Coodigo de barras" numFmtId="0">
      <sharedItems containsSemiMixedTypes="0" containsString="0" containsNumber="1" containsInteger="1" minValue="19081001" maxValue="19081118"/>
    </cacheField>
    <cacheField name="Nombre del producto" numFmtId="0">
      <sharedItems count="14">
        <s v="Sacapuntas de plastico"/>
        <s v="Borrador de goma"/>
        <s v="Borrador de migajon "/>
        <s v="Pegamento liquido"/>
        <s v="Pegamento en barra"/>
        <s v="Lápiz"/>
        <s v="Plumon para pizarron"/>
        <s v="Caja de colores 24pz"/>
        <s v="Boligrafo"/>
        <s v="Pintura Acrilica"/>
        <s v="Libreta de Rayas"/>
        <s v="Libreta de Cuadros"/>
        <s v="Cartulina"/>
        <s v="Hoja"/>
      </sharedItems>
    </cacheField>
    <cacheField name="Color" numFmtId="0">
      <sharedItems/>
    </cacheField>
    <cacheField name="Marca" numFmtId="0">
      <sharedItems/>
    </cacheField>
    <cacheField name="Existencia" numFmtId="0">
      <sharedItems containsSemiMixedTypes="0" containsString="0" containsNumber="1" containsInteger="1" minValue="5" maxValue="30"/>
    </cacheField>
    <cacheField name="No. De Ventas" numFmtId="0">
      <sharedItems containsSemiMixedTypes="0" containsString="0" containsNumber="1" containsInteger="1" minValue="10" maxValue="70"/>
    </cacheField>
    <cacheField name="Precio de Compra" numFmtId="44">
      <sharedItems containsSemiMixedTypes="0" containsString="0" containsNumber="1" minValue="0.5" maxValue="180"/>
    </cacheField>
    <cacheField name="Precio de Venta " numFmtId="44">
      <sharedItems containsSemiMixedTypes="0" containsString="0" containsNumber="1" containsInteger="1" minValue="2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4335.393136689818" createdVersion="7" refreshedVersion="7" minRefreshableVersion="3" recordCount="118">
  <cacheSource type="worksheet">
    <worksheetSource ref="B5:J123" sheet="Base de datos"/>
  </cacheSource>
  <cacheFields count="9">
    <cacheField name="Coodigo de barras" numFmtId="0">
      <sharedItems containsSemiMixedTypes="0" containsString="0" containsNumber="1" containsInteger="1" minValue="19081001" maxValue="19081118"/>
    </cacheField>
    <cacheField name="Nombre del producto" numFmtId="0">
      <sharedItems count="14">
        <s v="Sacapuntas de plastico"/>
        <s v="Borrador de goma"/>
        <s v="Borrador de migajon "/>
        <s v="Pegamento liquido"/>
        <s v="Pegamento en barra"/>
        <s v="Lápiz"/>
        <s v="Plumon para pizarron"/>
        <s v="Caja de colores 24pz"/>
        <s v="Boligrafo"/>
        <s v="Pintura Acrilica"/>
        <s v="Libreta de Rayas"/>
        <s v="Libreta de Cuadros"/>
        <s v="Cartulina"/>
        <s v="Hoja"/>
      </sharedItems>
    </cacheField>
    <cacheField name="Color" numFmtId="0">
      <sharedItems/>
    </cacheField>
    <cacheField name="Marca" numFmtId="0">
      <sharedItems/>
    </cacheField>
    <cacheField name="Existencia" numFmtId="0">
      <sharedItems containsSemiMixedTypes="0" containsString="0" containsNumber="1" containsInteger="1" minValue="5" maxValue="30"/>
    </cacheField>
    <cacheField name="No. De Ventas" numFmtId="0">
      <sharedItems containsSemiMixedTypes="0" containsString="0" containsNumber="1" containsInteger="1" minValue="10" maxValue="70"/>
    </cacheField>
    <cacheField name="Precio de Compra" numFmtId="44">
      <sharedItems containsSemiMixedTypes="0" containsString="0" containsNumber="1" minValue="0.5" maxValue="180"/>
    </cacheField>
    <cacheField name="Precio de Venta " numFmtId="44">
      <sharedItems containsSemiMixedTypes="0" containsString="0" containsNumber="1" containsInteger="1" minValue="2" maxValue="200"/>
    </cacheField>
    <cacheField name="MONTO" numFmtId="164">
      <sharedItems containsSemiMixedTypes="0" containsString="0" containsNumber="1" containsInteger="1" minValue="32" maxValue="13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4335.527815393521" createdVersion="5" refreshedVersion="5" minRefreshableVersion="3" recordCount="14">
  <cacheSource type="worksheet">
    <worksheetSource ref="C28:E42" sheet="Reporte 2"/>
  </cacheSource>
  <cacheFields count="3">
    <cacheField name="Producto" numFmtId="0">
      <sharedItems count="14">
        <s v="Sacapuntas de Plastico"/>
        <s v="Borrador de Goma"/>
        <s v="Borrador de Migajon"/>
        <s v="Pegamento Líquido"/>
        <s v="Pegamento en Barra"/>
        <s v="Lápiz"/>
        <s v="Plumon Para Pizarron "/>
        <s v="Caja de Colores"/>
        <s v="Bolígrafo"/>
        <s v="Pintura Acrílica"/>
        <s v="Libreta de Rayas"/>
        <s v="Libreta de Cuadros"/>
        <s v="Cartulina"/>
        <s v="Hoja"/>
      </sharedItems>
    </cacheField>
    <cacheField name="Total Ventas" numFmtId="0">
      <sharedItems containsSemiMixedTypes="0" containsString="0" containsNumber="1" containsInteger="1" minValue="95" maxValue="669"/>
    </cacheField>
    <cacheField name="Ganancia" numFmtId="44">
      <sharedItems containsSemiMixedTypes="0" containsString="0" containsNumber="1" minValue="515" maxValue="153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DELL" refreshedDate="44335.634377662034" createdVersion="4" refreshedVersion="4" minRefreshableVersion="3" recordCount="119">
  <cacheSource type="worksheet">
    <worksheetSource ref="B5:L124" sheet="Base de datos"/>
  </cacheSource>
  <cacheFields count="11">
    <cacheField name="Coodigo de barras" numFmtId="0">
      <sharedItems containsString="0" containsBlank="1" containsNumber="1" containsInteger="1" minValue="19081001" maxValue="19081118"/>
    </cacheField>
    <cacheField name="Nombre del producto" numFmtId="0">
      <sharedItems containsBlank="1"/>
    </cacheField>
    <cacheField name="Color" numFmtId="0">
      <sharedItems containsBlank="1"/>
    </cacheField>
    <cacheField name="Marca" numFmtId="0">
      <sharedItems containsBlank="1" count="21">
        <s v="Pelikan "/>
        <s v="Maped"/>
        <s v="Norma"/>
        <s v="Bariilito"/>
        <s v="FaberCastell"/>
        <s v="Prismacolor"/>
        <s v="Elmer's"/>
        <s v="Bully"/>
        <s v="Dixon"/>
        <s v="Resistol"/>
        <s v="Papper Mate"/>
        <s v="Bic"/>
        <s v="Magistral"/>
        <s v="Expo"/>
        <s v="Crayola"/>
        <s v="Pilot"/>
        <s v="Azor"/>
        <s v="Politec"/>
        <s v="Scribe "/>
        <s v="Tony"/>
        <m/>
      </sharedItems>
    </cacheField>
    <cacheField name="Existencia" numFmtId="0">
      <sharedItems containsSemiMixedTypes="0" containsString="0" containsNumber="1" containsInteger="1" minValue="5" maxValue="685"/>
    </cacheField>
    <cacheField name="No. De Ventas" numFmtId="0">
      <sharedItems containsString="0" containsBlank="1" containsNumber="1" containsInteger="1" minValue="10" maxValue="70"/>
    </cacheField>
    <cacheField name="Precio de Compra" numFmtId="44">
      <sharedItems containsString="0" containsBlank="1" containsNumber="1" minValue="0.5" maxValue="180"/>
    </cacheField>
    <cacheField name="Precio de Venta " numFmtId="44">
      <sharedItems containsString="0" containsBlank="1" containsNumber="1" containsInteger="1" minValue="2" maxValue="200"/>
    </cacheField>
    <cacheField name="MONTO" numFmtId="0">
      <sharedItems containsString="0" containsBlank="1" containsNumber="1" containsInteger="1" minValue="32" maxValue="13300"/>
    </cacheField>
    <cacheField name="Ganancia por venta" numFmtId="0">
      <sharedItems containsString="0" containsBlank="1" containsNumber="1" minValue="1" maxValue="30"/>
    </cacheField>
    <cacheField name="Ganancia por total vendido" numFmtId="0">
      <sharedItems containsString="0" containsBlank="1" containsNumber="1" minValue="20" maxValue="1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n v="19081001"/>
    <x v="0"/>
    <s v="Rojo"/>
    <s v="Pelikan "/>
    <n v="6"/>
    <n v="39"/>
    <n v="10"/>
    <n v="15"/>
  </r>
  <r>
    <n v="19081002"/>
    <x v="0"/>
    <s v="Azul"/>
    <s v="Pelikan "/>
    <n v="7"/>
    <n v="47"/>
    <n v="10"/>
    <n v="15"/>
  </r>
  <r>
    <n v="19081003"/>
    <x v="0"/>
    <s v="Verde"/>
    <s v="Pelikan "/>
    <n v="25"/>
    <n v="57"/>
    <n v="10"/>
    <n v="15"/>
  </r>
  <r>
    <n v="19081004"/>
    <x v="0"/>
    <s v="Morado"/>
    <s v="Pelikan "/>
    <n v="24"/>
    <n v="32"/>
    <n v="10"/>
    <n v="15"/>
  </r>
  <r>
    <n v="19081005"/>
    <x v="0"/>
    <s v="Naranja "/>
    <s v="Maped"/>
    <n v="11"/>
    <n v="36"/>
    <n v="13"/>
    <n v="18"/>
  </r>
  <r>
    <n v="19081006"/>
    <x v="0"/>
    <s v="Amarillo"/>
    <s v="Maped"/>
    <n v="19"/>
    <n v="19"/>
    <n v="13"/>
    <n v="18"/>
  </r>
  <r>
    <n v="19081007"/>
    <x v="0"/>
    <s v="Rojo"/>
    <s v="Maped"/>
    <n v="21"/>
    <n v="70"/>
    <n v="13"/>
    <n v="18"/>
  </r>
  <r>
    <n v="19081008"/>
    <x v="0"/>
    <s v="Azul"/>
    <s v="Maped"/>
    <n v="18"/>
    <n v="28"/>
    <n v="13"/>
    <n v="18"/>
  </r>
  <r>
    <n v="19081009"/>
    <x v="0"/>
    <s v="Verde"/>
    <s v="Maped"/>
    <n v="28"/>
    <n v="56"/>
    <n v="13"/>
    <n v="18"/>
  </r>
  <r>
    <n v="19081010"/>
    <x v="0"/>
    <s v="Rojo"/>
    <s v="Norma"/>
    <n v="12"/>
    <n v="54"/>
    <n v="9"/>
    <n v="14"/>
  </r>
  <r>
    <n v="19081011"/>
    <x v="0"/>
    <s v="Rosa"/>
    <s v="Norma"/>
    <n v="21"/>
    <n v="69"/>
    <n v="9"/>
    <n v="14"/>
  </r>
  <r>
    <n v="19081012"/>
    <x v="0"/>
    <s v="Negro"/>
    <s v="Norma"/>
    <n v="10"/>
    <n v="21"/>
    <n v="9"/>
    <n v="14"/>
  </r>
  <r>
    <n v="19081013"/>
    <x v="0"/>
    <s v="Azul"/>
    <s v="Norma"/>
    <n v="6"/>
    <n v="42"/>
    <n v="9"/>
    <n v="14"/>
  </r>
  <r>
    <n v="19081014"/>
    <x v="1"/>
    <s v="Blanco"/>
    <s v="Bariilito"/>
    <n v="12"/>
    <n v="52"/>
    <n v="2"/>
    <n v="6"/>
  </r>
  <r>
    <n v="19081015"/>
    <x v="1"/>
    <s v="Blanco"/>
    <s v="Pelikan "/>
    <n v="8"/>
    <n v="47"/>
    <n v="3"/>
    <n v="8"/>
  </r>
  <r>
    <n v="19081016"/>
    <x v="1"/>
    <s v="Blanco"/>
    <s v="FaberCastell"/>
    <n v="11"/>
    <n v="13"/>
    <n v="15"/>
    <n v="25"/>
  </r>
  <r>
    <n v="19081017"/>
    <x v="1"/>
    <s v="Blanco"/>
    <s v="Prismacolor"/>
    <n v="9"/>
    <n v="56"/>
    <n v="20"/>
    <n v="30"/>
  </r>
  <r>
    <n v="19081018"/>
    <x v="2"/>
    <s v="Beige"/>
    <s v="Pelikan "/>
    <n v="18"/>
    <n v="11"/>
    <n v="5"/>
    <n v="9"/>
  </r>
  <r>
    <n v="19081019"/>
    <x v="2"/>
    <s v="Beige"/>
    <s v="Prismacolor"/>
    <n v="22"/>
    <n v="22"/>
    <n v="40"/>
    <n v="60"/>
  </r>
  <r>
    <n v="19081020"/>
    <x v="2"/>
    <s v="Beige"/>
    <s v="FaberCastell"/>
    <n v="14"/>
    <n v="62"/>
    <n v="30"/>
    <n v="50"/>
  </r>
  <r>
    <n v="19081021"/>
    <x v="3"/>
    <s v="Blanco"/>
    <s v="Elmer's"/>
    <n v="10"/>
    <n v="12"/>
    <n v="25"/>
    <n v="35"/>
  </r>
  <r>
    <n v="19081022"/>
    <x v="3"/>
    <s v="Blanco"/>
    <s v="Bully"/>
    <n v="13"/>
    <n v="47"/>
    <n v="30"/>
    <n v="40"/>
  </r>
  <r>
    <n v="19081023"/>
    <x v="3"/>
    <s v="Blanco"/>
    <s v="Dixon"/>
    <n v="5"/>
    <n v="36"/>
    <n v="30"/>
    <n v="35"/>
  </r>
  <r>
    <n v="19081024"/>
    <x v="3"/>
    <s v="Blanco"/>
    <s v="Resistol"/>
    <n v="22"/>
    <n v="69"/>
    <n v="35"/>
    <n v="40"/>
  </r>
  <r>
    <n v="19081025"/>
    <x v="4"/>
    <s v="Blanco"/>
    <s v="Elmer's"/>
    <n v="19"/>
    <n v="51"/>
    <n v="15"/>
    <n v="25"/>
  </r>
  <r>
    <n v="19081026"/>
    <x v="4"/>
    <s v="Blanco"/>
    <s v="Bully"/>
    <n v="27"/>
    <n v="32"/>
    <n v="8"/>
    <n v="15"/>
  </r>
  <r>
    <n v="19081027"/>
    <x v="4"/>
    <s v="Blanco"/>
    <s v="Dixon"/>
    <n v="16"/>
    <n v="64"/>
    <n v="10"/>
    <n v="17"/>
  </r>
  <r>
    <n v="19081028"/>
    <x v="4"/>
    <s v="Blanco"/>
    <s v="Resistol"/>
    <n v="14"/>
    <n v="68"/>
    <n v="13"/>
    <n v="20"/>
  </r>
  <r>
    <n v="19081029"/>
    <x v="5"/>
    <s v="Amarillo"/>
    <s v="Dixon"/>
    <n v="20"/>
    <n v="23"/>
    <n v="3"/>
    <n v="5"/>
  </r>
  <r>
    <n v="19081030"/>
    <x v="5"/>
    <s v="Amarillo"/>
    <s v="Papper Mate"/>
    <n v="19"/>
    <n v="12"/>
    <n v="5"/>
    <n v="7"/>
  </r>
  <r>
    <n v="19081031"/>
    <x v="5"/>
    <s v="Amarillo"/>
    <s v="Pelikan "/>
    <n v="16"/>
    <n v="67"/>
    <n v="4"/>
    <n v="7"/>
  </r>
  <r>
    <n v="19081032"/>
    <x v="5"/>
    <s v="Verde"/>
    <s v="Bic"/>
    <n v="16"/>
    <n v="68"/>
    <n v="5"/>
    <n v="7"/>
  </r>
  <r>
    <n v="19081033"/>
    <x v="5"/>
    <s v="Naranja "/>
    <s v="Maped"/>
    <n v="8"/>
    <n v="54"/>
    <n v="3"/>
    <n v="5"/>
  </r>
  <r>
    <n v="19081034"/>
    <x v="6"/>
    <s v="Negro"/>
    <s v="Magistral"/>
    <n v="22"/>
    <n v="61"/>
    <n v="25"/>
    <n v="35"/>
  </r>
  <r>
    <n v="19081035"/>
    <x v="6"/>
    <s v="Rojo"/>
    <s v="Magistral"/>
    <n v="27"/>
    <n v="45"/>
    <n v="25"/>
    <n v="35"/>
  </r>
  <r>
    <n v="19081036"/>
    <x v="6"/>
    <s v="Azul"/>
    <s v="Magistral"/>
    <n v="29"/>
    <n v="42"/>
    <n v="25"/>
    <n v="35"/>
  </r>
  <r>
    <n v="19081037"/>
    <x v="6"/>
    <s v="Verde"/>
    <s v="Magistral"/>
    <n v="25"/>
    <n v="70"/>
    <n v="25"/>
    <n v="35"/>
  </r>
  <r>
    <n v="19081038"/>
    <x v="6"/>
    <s v="Negro"/>
    <s v="Expo"/>
    <n v="26"/>
    <n v="16"/>
    <n v="20"/>
    <n v="30"/>
  </r>
  <r>
    <n v="19081039"/>
    <x v="6"/>
    <s v="Rojo"/>
    <s v="Expo"/>
    <n v="5"/>
    <n v="22"/>
    <n v="20"/>
    <n v="30"/>
  </r>
  <r>
    <n v="19081040"/>
    <x v="6"/>
    <s v="Azul"/>
    <s v="Expo"/>
    <n v="12"/>
    <n v="24"/>
    <n v="20"/>
    <n v="30"/>
  </r>
  <r>
    <n v="19081041"/>
    <x v="6"/>
    <s v="Verde"/>
    <s v="Expo"/>
    <n v="22"/>
    <n v="68"/>
    <n v="20"/>
    <n v="30"/>
  </r>
  <r>
    <n v="19081042"/>
    <x v="7"/>
    <s v="Arcoiris"/>
    <s v="Prismacolor"/>
    <n v="25"/>
    <n v="15"/>
    <n v="170"/>
    <n v="200"/>
  </r>
  <r>
    <n v="19081043"/>
    <x v="7"/>
    <s v="Arcoiris"/>
    <s v="Norma"/>
    <n v="19"/>
    <n v="70"/>
    <n v="180"/>
    <n v="190"/>
  </r>
  <r>
    <n v="19081044"/>
    <x v="7"/>
    <s v="Arcoiris"/>
    <s v="Papper Mate"/>
    <n v="5"/>
    <n v="30"/>
    <n v="150"/>
    <n v="165"/>
  </r>
  <r>
    <n v="19081045"/>
    <x v="7"/>
    <s v="Arcoiris"/>
    <s v="Maped"/>
    <n v="23"/>
    <n v="54"/>
    <n v="100"/>
    <n v="120"/>
  </r>
  <r>
    <n v="19081046"/>
    <x v="7"/>
    <s v="Arcoiris"/>
    <s v="Dixon"/>
    <n v="13"/>
    <n v="59"/>
    <n v="60"/>
    <n v="70"/>
  </r>
  <r>
    <n v="19081047"/>
    <x v="7"/>
    <s v="Arcoiris"/>
    <s v="Crayola"/>
    <n v="17"/>
    <n v="53"/>
    <n v="170"/>
    <n v="186"/>
  </r>
  <r>
    <n v="19081048"/>
    <x v="7"/>
    <s v="Arcoiris"/>
    <s v="Bic"/>
    <n v="27"/>
    <n v="64"/>
    <n v="170"/>
    <n v="186"/>
  </r>
  <r>
    <n v="19081049"/>
    <x v="8"/>
    <s v="Negro"/>
    <s v="Papper Mate"/>
    <n v="14"/>
    <n v="37"/>
    <n v="5"/>
    <n v="6"/>
  </r>
  <r>
    <n v="19081050"/>
    <x v="8"/>
    <s v="Rojo"/>
    <s v="Papper Mate"/>
    <n v="15"/>
    <n v="48"/>
    <n v="5"/>
    <n v="6"/>
  </r>
  <r>
    <n v="19081051"/>
    <x v="8"/>
    <s v="Azul"/>
    <s v="Papper Mate"/>
    <n v="12"/>
    <n v="58"/>
    <n v="5"/>
    <n v="6"/>
  </r>
  <r>
    <n v="19081052"/>
    <x v="8"/>
    <s v="Negro"/>
    <s v="Bic"/>
    <n v="19"/>
    <n v="37"/>
    <n v="2"/>
    <n v="5"/>
  </r>
  <r>
    <n v="19081053"/>
    <x v="8"/>
    <s v="Rojo"/>
    <s v="Bic"/>
    <n v="22"/>
    <n v="10"/>
    <n v="2"/>
    <n v="5"/>
  </r>
  <r>
    <n v="19081054"/>
    <x v="8"/>
    <s v="Azul"/>
    <s v="Bic"/>
    <n v="30"/>
    <n v="17"/>
    <n v="2"/>
    <n v="5"/>
  </r>
  <r>
    <n v="19081055"/>
    <x v="8"/>
    <s v="Negro"/>
    <s v="Pilot"/>
    <n v="21"/>
    <n v="65"/>
    <n v="15"/>
    <n v="20"/>
  </r>
  <r>
    <n v="19081056"/>
    <x v="8"/>
    <s v="Rojo"/>
    <s v="Pilot"/>
    <n v="7"/>
    <n v="23"/>
    <n v="15"/>
    <n v="20"/>
  </r>
  <r>
    <n v="19081057"/>
    <x v="8"/>
    <s v="Azul"/>
    <s v="Pilot"/>
    <n v="22"/>
    <n v="57"/>
    <n v="15"/>
    <n v="20"/>
  </r>
  <r>
    <n v="19081058"/>
    <x v="8"/>
    <s v="Negro"/>
    <s v="Azor"/>
    <n v="5"/>
    <n v="31"/>
    <n v="3"/>
    <n v="5"/>
  </r>
  <r>
    <n v="19081059"/>
    <x v="8"/>
    <s v="Rojo"/>
    <s v="Azor"/>
    <n v="5"/>
    <n v="10"/>
    <n v="3"/>
    <n v="5"/>
  </r>
  <r>
    <n v="19081060"/>
    <x v="8"/>
    <s v="Azul"/>
    <s v="Azor"/>
    <n v="14"/>
    <n v="37"/>
    <n v="3"/>
    <n v="5"/>
  </r>
  <r>
    <n v="19081061"/>
    <x v="9"/>
    <s v="Roja"/>
    <s v="Politec"/>
    <n v="17"/>
    <n v="60"/>
    <n v="10"/>
    <n v="15"/>
  </r>
  <r>
    <n v="19081062"/>
    <x v="9"/>
    <s v="Naranja "/>
    <s v="Politec"/>
    <n v="10"/>
    <n v="15"/>
    <n v="10"/>
    <n v="15"/>
  </r>
  <r>
    <n v="19081063"/>
    <x v="9"/>
    <s v="Amarillo"/>
    <s v="Politec"/>
    <n v="20"/>
    <n v="44"/>
    <n v="10"/>
    <n v="15"/>
  </r>
  <r>
    <n v="19081064"/>
    <x v="9"/>
    <s v="Verde"/>
    <s v="Politec"/>
    <n v="20"/>
    <n v="54"/>
    <n v="10"/>
    <n v="15"/>
  </r>
  <r>
    <n v="19081065"/>
    <x v="9"/>
    <s v="Azul"/>
    <s v="Politec"/>
    <n v="9"/>
    <n v="39"/>
    <n v="10"/>
    <n v="15"/>
  </r>
  <r>
    <n v="19081066"/>
    <x v="9"/>
    <s v="Morado"/>
    <s v="Politec"/>
    <n v="14"/>
    <n v="65"/>
    <n v="10"/>
    <n v="15"/>
  </r>
  <r>
    <n v="19081067"/>
    <x v="9"/>
    <s v="Rosa"/>
    <s v="Politec"/>
    <n v="30"/>
    <n v="35"/>
    <n v="10"/>
    <n v="15"/>
  </r>
  <r>
    <n v="19081068"/>
    <x v="9"/>
    <s v="Café"/>
    <s v="Politec"/>
    <n v="6"/>
    <n v="65"/>
    <n v="10"/>
    <n v="15"/>
  </r>
  <r>
    <n v="19081069"/>
    <x v="9"/>
    <s v="Negro"/>
    <s v="Politec"/>
    <n v="13"/>
    <n v="69"/>
    <n v="10"/>
    <n v="15"/>
  </r>
  <r>
    <n v="19081070"/>
    <x v="9"/>
    <s v="Gris"/>
    <s v="Politec"/>
    <n v="10"/>
    <n v="51"/>
    <n v="10"/>
    <n v="15"/>
  </r>
  <r>
    <n v="19081071"/>
    <x v="9"/>
    <s v="Blanco"/>
    <s v="Politec"/>
    <n v="19"/>
    <n v="44"/>
    <n v="10"/>
    <n v="15"/>
  </r>
  <r>
    <n v="19081072"/>
    <x v="10"/>
    <s v="Rojo"/>
    <s v="Norma"/>
    <n v="30"/>
    <n v="65"/>
    <n v="50"/>
    <n v="75"/>
  </r>
  <r>
    <n v="19081073"/>
    <x v="10"/>
    <s v="Naranja "/>
    <s v="Norma"/>
    <n v="23"/>
    <n v="23"/>
    <n v="50"/>
    <n v="75"/>
  </r>
  <r>
    <n v="19081074"/>
    <x v="10"/>
    <s v="Amarillo"/>
    <s v="Norma"/>
    <n v="12"/>
    <n v="29"/>
    <n v="50"/>
    <n v="75"/>
  </r>
  <r>
    <n v="19081075"/>
    <x v="10"/>
    <s v="Verde"/>
    <s v="Norma"/>
    <n v="16"/>
    <n v="70"/>
    <n v="50"/>
    <n v="75"/>
  </r>
  <r>
    <n v="19081076"/>
    <x v="10"/>
    <s v="Azul"/>
    <s v="Norma"/>
    <n v="9"/>
    <n v="62"/>
    <n v="50"/>
    <n v="75"/>
  </r>
  <r>
    <n v="19081077"/>
    <x v="10"/>
    <s v="Morado"/>
    <s v="Norma"/>
    <n v="22"/>
    <n v="27"/>
    <n v="50"/>
    <n v="75"/>
  </r>
  <r>
    <n v="19081078"/>
    <x v="10"/>
    <s v="Negro"/>
    <s v="Norma"/>
    <n v="28"/>
    <n v="67"/>
    <n v="50"/>
    <n v="75"/>
  </r>
  <r>
    <n v="19081079"/>
    <x v="10"/>
    <s v="Gris"/>
    <s v="Norma"/>
    <n v="7"/>
    <n v="42"/>
    <n v="50"/>
    <n v="75"/>
  </r>
  <r>
    <n v="19081080"/>
    <x v="10"/>
    <s v="Rojo"/>
    <s v="Scribe "/>
    <n v="30"/>
    <n v="56"/>
    <n v="35"/>
    <n v="55"/>
  </r>
  <r>
    <n v="19081081"/>
    <x v="10"/>
    <s v="Naranja "/>
    <s v="Scribe "/>
    <n v="6"/>
    <n v="31"/>
    <n v="35"/>
    <n v="55"/>
  </r>
  <r>
    <n v="19081082"/>
    <x v="10"/>
    <s v="Amarillo"/>
    <s v="Scribe "/>
    <n v="18"/>
    <n v="44"/>
    <n v="35"/>
    <n v="55"/>
  </r>
  <r>
    <n v="19081083"/>
    <x v="10"/>
    <s v="Verde"/>
    <s v="Scribe "/>
    <n v="15"/>
    <n v="33"/>
    <n v="35"/>
    <n v="55"/>
  </r>
  <r>
    <n v="19081084"/>
    <x v="10"/>
    <s v="Azul"/>
    <s v="Scribe "/>
    <n v="23"/>
    <n v="20"/>
    <n v="35"/>
    <n v="55"/>
  </r>
  <r>
    <n v="19081085"/>
    <x v="10"/>
    <s v="Morado"/>
    <s v="Scribe "/>
    <n v="9"/>
    <n v="47"/>
    <n v="35"/>
    <n v="55"/>
  </r>
  <r>
    <n v="19081086"/>
    <x v="10"/>
    <s v="Negro"/>
    <s v="Scribe "/>
    <n v="9"/>
    <n v="53"/>
    <n v="35"/>
    <n v="55"/>
  </r>
  <r>
    <n v="19081087"/>
    <x v="11"/>
    <s v="Rojo"/>
    <s v="Norma"/>
    <n v="8"/>
    <n v="19"/>
    <n v="50"/>
    <n v="75"/>
  </r>
  <r>
    <n v="19081088"/>
    <x v="11"/>
    <s v="Naranja "/>
    <s v="Norma"/>
    <n v="9"/>
    <n v="15"/>
    <n v="50"/>
    <n v="75"/>
  </r>
  <r>
    <n v="19081089"/>
    <x v="11"/>
    <s v="Amarillo"/>
    <s v="Norma"/>
    <n v="12"/>
    <n v="42"/>
    <n v="50"/>
    <n v="75"/>
  </r>
  <r>
    <n v="19081090"/>
    <x v="11"/>
    <s v="Verde"/>
    <s v="Norma"/>
    <n v="22"/>
    <n v="65"/>
    <n v="50"/>
    <n v="75"/>
  </r>
  <r>
    <n v="19081091"/>
    <x v="11"/>
    <s v="Azul"/>
    <s v="Norma"/>
    <n v="5"/>
    <n v="32"/>
    <n v="50"/>
    <n v="75"/>
  </r>
  <r>
    <n v="19081092"/>
    <x v="11"/>
    <s v="Morado"/>
    <s v="Norma"/>
    <n v="9"/>
    <n v="35"/>
    <n v="50"/>
    <n v="75"/>
  </r>
  <r>
    <n v="19081093"/>
    <x v="11"/>
    <s v="Negro"/>
    <s v="Norma"/>
    <n v="13"/>
    <n v="68"/>
    <n v="50"/>
    <n v="75"/>
  </r>
  <r>
    <n v="19081094"/>
    <x v="11"/>
    <s v="Gris"/>
    <s v="Norma"/>
    <n v="11"/>
    <n v="23"/>
    <n v="50"/>
    <n v="75"/>
  </r>
  <r>
    <n v="19081095"/>
    <x v="11"/>
    <s v="Rojo"/>
    <s v="Scribe "/>
    <n v="16"/>
    <n v="41"/>
    <n v="35"/>
    <n v="55"/>
  </r>
  <r>
    <n v="19081096"/>
    <x v="11"/>
    <s v="Naranja "/>
    <s v="Scribe "/>
    <n v="10"/>
    <n v="38"/>
    <n v="35"/>
    <n v="55"/>
  </r>
  <r>
    <n v="19081097"/>
    <x v="11"/>
    <s v="Amarillo"/>
    <s v="Scribe "/>
    <n v="9"/>
    <n v="50"/>
    <n v="35"/>
    <n v="55"/>
  </r>
  <r>
    <n v="19081098"/>
    <x v="11"/>
    <s v="Verde"/>
    <s v="Scribe "/>
    <n v="8"/>
    <n v="22"/>
    <n v="35"/>
    <n v="55"/>
  </r>
  <r>
    <n v="19081099"/>
    <x v="11"/>
    <s v="Azul"/>
    <s v="Scribe "/>
    <n v="20"/>
    <n v="49"/>
    <n v="35"/>
    <n v="55"/>
  </r>
  <r>
    <n v="19081100"/>
    <x v="11"/>
    <s v="Morado"/>
    <s v="Scribe "/>
    <n v="19"/>
    <n v="46"/>
    <n v="35"/>
    <n v="55"/>
  </r>
  <r>
    <n v="19081101"/>
    <x v="11"/>
    <s v="Negro"/>
    <s v="Scribe "/>
    <n v="22"/>
    <n v="45"/>
    <n v="35"/>
    <n v="55"/>
  </r>
  <r>
    <n v="19081102"/>
    <x v="12"/>
    <s v="Blanco"/>
    <s v="Tony"/>
    <n v="21"/>
    <n v="57"/>
    <n v="2"/>
    <n v="5"/>
  </r>
  <r>
    <n v="19081103"/>
    <x v="12"/>
    <s v="Negro"/>
    <s v="Tony"/>
    <n v="15"/>
    <n v="68"/>
    <n v="2"/>
    <n v="5"/>
  </r>
  <r>
    <n v="19081104"/>
    <x v="12"/>
    <s v="Azul"/>
    <s v="Tony"/>
    <n v="18"/>
    <n v="43"/>
    <n v="2"/>
    <n v="5"/>
  </r>
  <r>
    <n v="19081105"/>
    <x v="12"/>
    <s v="Verde"/>
    <s v="Tony"/>
    <n v="23"/>
    <n v="68"/>
    <n v="2"/>
    <n v="5"/>
  </r>
  <r>
    <n v="19081106"/>
    <x v="12"/>
    <s v="Naranja "/>
    <s v="Tony"/>
    <n v="26"/>
    <n v="36"/>
    <n v="2"/>
    <n v="5"/>
  </r>
  <r>
    <n v="19081107"/>
    <x v="12"/>
    <s v="Amarillo"/>
    <s v="Tony"/>
    <n v="20"/>
    <n v="19"/>
    <n v="2"/>
    <n v="5"/>
  </r>
  <r>
    <n v="19081108"/>
    <x v="12"/>
    <s v="Rosa"/>
    <s v="Tony"/>
    <n v="18"/>
    <n v="37"/>
    <n v="2"/>
    <n v="5"/>
  </r>
  <r>
    <n v="19081109"/>
    <x v="12"/>
    <s v="Rojo "/>
    <s v="Tony"/>
    <n v="27"/>
    <n v="40"/>
    <n v="2"/>
    <n v="5"/>
  </r>
  <r>
    <n v="19081110"/>
    <x v="13"/>
    <s v="Gris"/>
    <s v="Tony"/>
    <n v="17"/>
    <n v="45"/>
    <n v="0.5"/>
    <n v="2"/>
  </r>
  <r>
    <n v="19081111"/>
    <x v="13"/>
    <s v="Rojo"/>
    <s v="Tony"/>
    <n v="30"/>
    <n v="39"/>
    <n v="0.5"/>
    <n v="2"/>
  </r>
  <r>
    <n v="19081112"/>
    <x v="13"/>
    <s v="Naranja "/>
    <s v="Tony"/>
    <n v="12"/>
    <n v="16"/>
    <n v="0.5"/>
    <n v="2"/>
  </r>
  <r>
    <n v="19081113"/>
    <x v="13"/>
    <s v="Amarillo"/>
    <s v="Tony"/>
    <n v="28"/>
    <n v="33"/>
    <n v="0.5"/>
    <n v="2"/>
  </r>
  <r>
    <n v="19081114"/>
    <x v="13"/>
    <s v="Verde"/>
    <s v="Tony"/>
    <n v="14"/>
    <n v="70"/>
    <n v="0.5"/>
    <n v="2"/>
  </r>
  <r>
    <n v="19081115"/>
    <x v="13"/>
    <s v="Azul"/>
    <s v="Tony"/>
    <n v="9"/>
    <n v="34"/>
    <n v="0.5"/>
    <n v="2"/>
  </r>
  <r>
    <n v="19081116"/>
    <x v="13"/>
    <s v="Morado"/>
    <s v="Tony"/>
    <n v="16"/>
    <n v="48"/>
    <n v="0.5"/>
    <n v="2"/>
  </r>
  <r>
    <n v="19081117"/>
    <x v="13"/>
    <s v="Negro"/>
    <s v="Tony"/>
    <n v="19"/>
    <n v="58"/>
    <n v="0.5"/>
    <n v="2"/>
  </r>
  <r>
    <n v="19081118"/>
    <x v="13"/>
    <s v="Blanco"/>
    <s v="Tony"/>
    <n v="19"/>
    <n v="52"/>
    <n v="0.5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n v="19081001"/>
    <x v="0"/>
    <s v="Rojo"/>
    <s v="Pelikan "/>
    <n v="6"/>
    <n v="39"/>
    <n v="10"/>
    <n v="15"/>
    <n v="585"/>
  </r>
  <r>
    <n v="19081002"/>
    <x v="0"/>
    <s v="Azul"/>
    <s v="Pelikan "/>
    <n v="7"/>
    <n v="47"/>
    <n v="10"/>
    <n v="15"/>
    <n v="705"/>
  </r>
  <r>
    <n v="19081003"/>
    <x v="0"/>
    <s v="Verde"/>
    <s v="Pelikan "/>
    <n v="25"/>
    <n v="57"/>
    <n v="10"/>
    <n v="15"/>
    <n v="855"/>
  </r>
  <r>
    <n v="19081004"/>
    <x v="0"/>
    <s v="Morado"/>
    <s v="Pelikan "/>
    <n v="24"/>
    <n v="32"/>
    <n v="10"/>
    <n v="15"/>
    <n v="480"/>
  </r>
  <r>
    <n v="19081005"/>
    <x v="0"/>
    <s v="Naranja "/>
    <s v="Maped"/>
    <n v="11"/>
    <n v="36"/>
    <n v="13"/>
    <n v="18"/>
    <n v="648"/>
  </r>
  <r>
    <n v="19081006"/>
    <x v="0"/>
    <s v="Amarillo"/>
    <s v="Maped"/>
    <n v="19"/>
    <n v="19"/>
    <n v="13"/>
    <n v="18"/>
    <n v="342"/>
  </r>
  <r>
    <n v="19081007"/>
    <x v="0"/>
    <s v="Rojo"/>
    <s v="Maped"/>
    <n v="21"/>
    <n v="70"/>
    <n v="13"/>
    <n v="18"/>
    <n v="1260"/>
  </r>
  <r>
    <n v="19081008"/>
    <x v="0"/>
    <s v="Azul"/>
    <s v="Maped"/>
    <n v="18"/>
    <n v="28"/>
    <n v="13"/>
    <n v="18"/>
    <n v="504"/>
  </r>
  <r>
    <n v="19081009"/>
    <x v="0"/>
    <s v="Verde"/>
    <s v="Maped"/>
    <n v="28"/>
    <n v="56"/>
    <n v="13"/>
    <n v="18"/>
    <n v="1008"/>
  </r>
  <r>
    <n v="19081010"/>
    <x v="0"/>
    <s v="Rojo"/>
    <s v="Norma"/>
    <n v="12"/>
    <n v="54"/>
    <n v="9"/>
    <n v="14"/>
    <n v="756"/>
  </r>
  <r>
    <n v="19081011"/>
    <x v="0"/>
    <s v="Rosa"/>
    <s v="Norma"/>
    <n v="21"/>
    <n v="69"/>
    <n v="9"/>
    <n v="14"/>
    <n v="966"/>
  </r>
  <r>
    <n v="19081012"/>
    <x v="0"/>
    <s v="Negro"/>
    <s v="Norma"/>
    <n v="10"/>
    <n v="21"/>
    <n v="9"/>
    <n v="14"/>
    <n v="294"/>
  </r>
  <r>
    <n v="19081013"/>
    <x v="0"/>
    <s v="Azul"/>
    <s v="Norma"/>
    <n v="6"/>
    <n v="42"/>
    <n v="9"/>
    <n v="14"/>
    <n v="588"/>
  </r>
  <r>
    <n v="19081014"/>
    <x v="1"/>
    <s v="Blanco"/>
    <s v="Bariilito"/>
    <n v="12"/>
    <n v="52"/>
    <n v="2"/>
    <n v="6"/>
    <n v="312"/>
  </r>
  <r>
    <n v="19081015"/>
    <x v="1"/>
    <s v="Blanco"/>
    <s v="Pelikan "/>
    <n v="8"/>
    <n v="47"/>
    <n v="3"/>
    <n v="8"/>
    <n v="376"/>
  </r>
  <r>
    <n v="19081016"/>
    <x v="1"/>
    <s v="Blanco"/>
    <s v="FaberCastell"/>
    <n v="11"/>
    <n v="13"/>
    <n v="15"/>
    <n v="25"/>
    <n v="325"/>
  </r>
  <r>
    <n v="19081017"/>
    <x v="1"/>
    <s v="Blanco"/>
    <s v="Prismacolor"/>
    <n v="9"/>
    <n v="56"/>
    <n v="20"/>
    <n v="30"/>
    <n v="1680"/>
  </r>
  <r>
    <n v="19081018"/>
    <x v="2"/>
    <s v="Beige"/>
    <s v="Pelikan "/>
    <n v="18"/>
    <n v="11"/>
    <n v="5"/>
    <n v="9"/>
    <n v="99"/>
  </r>
  <r>
    <n v="19081019"/>
    <x v="2"/>
    <s v="Beige"/>
    <s v="Prismacolor"/>
    <n v="22"/>
    <n v="22"/>
    <n v="40"/>
    <n v="60"/>
    <n v="1320"/>
  </r>
  <r>
    <n v="19081020"/>
    <x v="2"/>
    <s v="Beige"/>
    <s v="FaberCastell"/>
    <n v="14"/>
    <n v="62"/>
    <n v="30"/>
    <n v="50"/>
    <n v="3100"/>
  </r>
  <r>
    <n v="19081021"/>
    <x v="3"/>
    <s v="Blanco"/>
    <s v="Elmer's"/>
    <n v="10"/>
    <n v="12"/>
    <n v="25"/>
    <n v="35"/>
    <n v="420"/>
  </r>
  <r>
    <n v="19081022"/>
    <x v="3"/>
    <s v="Blanco"/>
    <s v="Bully"/>
    <n v="13"/>
    <n v="47"/>
    <n v="30"/>
    <n v="40"/>
    <n v="1880"/>
  </r>
  <r>
    <n v="19081023"/>
    <x v="3"/>
    <s v="Blanco"/>
    <s v="Dixon"/>
    <n v="5"/>
    <n v="36"/>
    <n v="30"/>
    <n v="35"/>
    <n v="1260"/>
  </r>
  <r>
    <n v="19081024"/>
    <x v="3"/>
    <s v="Blanco"/>
    <s v="Resistol"/>
    <n v="22"/>
    <n v="69"/>
    <n v="35"/>
    <n v="40"/>
    <n v="2760"/>
  </r>
  <r>
    <n v="19081025"/>
    <x v="4"/>
    <s v="Blanco"/>
    <s v="Elmer's"/>
    <n v="19"/>
    <n v="51"/>
    <n v="15"/>
    <n v="25"/>
    <n v="1275"/>
  </r>
  <r>
    <n v="19081026"/>
    <x v="4"/>
    <s v="Blanco"/>
    <s v="Bully"/>
    <n v="27"/>
    <n v="32"/>
    <n v="8"/>
    <n v="15"/>
    <n v="480"/>
  </r>
  <r>
    <n v="19081027"/>
    <x v="4"/>
    <s v="Blanco"/>
    <s v="Dixon"/>
    <n v="16"/>
    <n v="64"/>
    <n v="10"/>
    <n v="17"/>
    <n v="1088"/>
  </r>
  <r>
    <n v="19081028"/>
    <x v="4"/>
    <s v="Blanco"/>
    <s v="Resistol"/>
    <n v="14"/>
    <n v="68"/>
    <n v="13"/>
    <n v="20"/>
    <n v="1360"/>
  </r>
  <r>
    <n v="19081029"/>
    <x v="5"/>
    <s v="Amarillo"/>
    <s v="Dixon"/>
    <n v="20"/>
    <n v="23"/>
    <n v="3"/>
    <n v="5"/>
    <n v="115"/>
  </r>
  <r>
    <n v="19081030"/>
    <x v="5"/>
    <s v="Amarillo"/>
    <s v="Papper Mate"/>
    <n v="19"/>
    <n v="12"/>
    <n v="5"/>
    <n v="7"/>
    <n v="84"/>
  </r>
  <r>
    <n v="19081031"/>
    <x v="5"/>
    <s v="Amarillo"/>
    <s v="Pelikan "/>
    <n v="16"/>
    <n v="67"/>
    <n v="4"/>
    <n v="7"/>
    <n v="469"/>
  </r>
  <r>
    <n v="19081032"/>
    <x v="5"/>
    <s v="Verde"/>
    <s v="Bic"/>
    <n v="16"/>
    <n v="68"/>
    <n v="5"/>
    <n v="7"/>
    <n v="476"/>
  </r>
  <r>
    <n v="19081033"/>
    <x v="5"/>
    <s v="Naranja "/>
    <s v="Maped"/>
    <n v="8"/>
    <n v="54"/>
    <n v="3"/>
    <n v="5"/>
    <n v="270"/>
  </r>
  <r>
    <n v="19081034"/>
    <x v="6"/>
    <s v="Negro"/>
    <s v="Magistral"/>
    <n v="22"/>
    <n v="61"/>
    <n v="25"/>
    <n v="35"/>
    <n v="2135"/>
  </r>
  <r>
    <n v="19081035"/>
    <x v="6"/>
    <s v="Rojo"/>
    <s v="Magistral"/>
    <n v="27"/>
    <n v="45"/>
    <n v="25"/>
    <n v="35"/>
    <n v="1575"/>
  </r>
  <r>
    <n v="19081036"/>
    <x v="6"/>
    <s v="Azul"/>
    <s v="Magistral"/>
    <n v="29"/>
    <n v="42"/>
    <n v="25"/>
    <n v="35"/>
    <n v="1470"/>
  </r>
  <r>
    <n v="19081037"/>
    <x v="6"/>
    <s v="Verde"/>
    <s v="Magistral"/>
    <n v="25"/>
    <n v="70"/>
    <n v="25"/>
    <n v="35"/>
    <n v="2450"/>
  </r>
  <r>
    <n v="19081038"/>
    <x v="6"/>
    <s v="Negro"/>
    <s v="Expo"/>
    <n v="26"/>
    <n v="16"/>
    <n v="20"/>
    <n v="30"/>
    <n v="480"/>
  </r>
  <r>
    <n v="19081039"/>
    <x v="6"/>
    <s v="Rojo"/>
    <s v="Expo"/>
    <n v="5"/>
    <n v="22"/>
    <n v="20"/>
    <n v="30"/>
    <n v="660"/>
  </r>
  <r>
    <n v="19081040"/>
    <x v="6"/>
    <s v="Azul"/>
    <s v="Expo"/>
    <n v="12"/>
    <n v="24"/>
    <n v="20"/>
    <n v="30"/>
    <n v="720"/>
  </r>
  <r>
    <n v="19081041"/>
    <x v="6"/>
    <s v="Verde"/>
    <s v="Expo"/>
    <n v="22"/>
    <n v="68"/>
    <n v="20"/>
    <n v="30"/>
    <n v="2040"/>
  </r>
  <r>
    <n v="19081042"/>
    <x v="7"/>
    <s v="Arcoiris"/>
    <s v="Prismacolor"/>
    <n v="25"/>
    <n v="15"/>
    <n v="170"/>
    <n v="200"/>
    <n v="3000"/>
  </r>
  <r>
    <n v="19081043"/>
    <x v="7"/>
    <s v="Arcoiris"/>
    <s v="Norma"/>
    <n v="19"/>
    <n v="70"/>
    <n v="180"/>
    <n v="190"/>
    <n v="13300"/>
  </r>
  <r>
    <n v="19081044"/>
    <x v="7"/>
    <s v="Arcoiris"/>
    <s v="Papper Mate"/>
    <n v="5"/>
    <n v="30"/>
    <n v="150"/>
    <n v="165"/>
    <n v="4950"/>
  </r>
  <r>
    <n v="19081045"/>
    <x v="7"/>
    <s v="Arcoiris"/>
    <s v="Maped"/>
    <n v="23"/>
    <n v="54"/>
    <n v="100"/>
    <n v="120"/>
    <n v="6480"/>
  </r>
  <r>
    <n v="19081046"/>
    <x v="7"/>
    <s v="Arcoiris"/>
    <s v="Dixon"/>
    <n v="13"/>
    <n v="59"/>
    <n v="60"/>
    <n v="70"/>
    <n v="4130"/>
  </r>
  <r>
    <n v="19081047"/>
    <x v="7"/>
    <s v="Arcoiris"/>
    <s v="Crayola"/>
    <n v="17"/>
    <n v="53"/>
    <n v="170"/>
    <n v="186"/>
    <n v="9858"/>
  </r>
  <r>
    <n v="19081048"/>
    <x v="7"/>
    <s v="Arcoiris"/>
    <s v="Bic"/>
    <n v="27"/>
    <n v="64"/>
    <n v="170"/>
    <n v="186"/>
    <n v="11904"/>
  </r>
  <r>
    <n v="19081049"/>
    <x v="8"/>
    <s v="Negro"/>
    <s v="Papper Mate"/>
    <n v="14"/>
    <n v="37"/>
    <n v="5"/>
    <n v="6"/>
    <n v="222"/>
  </r>
  <r>
    <n v="19081050"/>
    <x v="8"/>
    <s v="Rojo"/>
    <s v="Papper Mate"/>
    <n v="15"/>
    <n v="48"/>
    <n v="5"/>
    <n v="6"/>
    <n v="288"/>
  </r>
  <r>
    <n v="19081051"/>
    <x v="8"/>
    <s v="Azul"/>
    <s v="Papper Mate"/>
    <n v="12"/>
    <n v="58"/>
    <n v="5"/>
    <n v="6"/>
    <n v="348"/>
  </r>
  <r>
    <n v="19081052"/>
    <x v="8"/>
    <s v="Negro"/>
    <s v="Bic"/>
    <n v="19"/>
    <n v="37"/>
    <n v="2"/>
    <n v="5"/>
    <n v="185"/>
  </r>
  <r>
    <n v="19081053"/>
    <x v="8"/>
    <s v="Rojo"/>
    <s v="Bic"/>
    <n v="22"/>
    <n v="10"/>
    <n v="2"/>
    <n v="5"/>
    <n v="50"/>
  </r>
  <r>
    <n v="19081054"/>
    <x v="8"/>
    <s v="Azul"/>
    <s v="Bic"/>
    <n v="30"/>
    <n v="17"/>
    <n v="2"/>
    <n v="5"/>
    <n v="85"/>
  </r>
  <r>
    <n v="19081055"/>
    <x v="8"/>
    <s v="Negro"/>
    <s v="Pilot"/>
    <n v="21"/>
    <n v="65"/>
    <n v="15"/>
    <n v="20"/>
    <n v="1300"/>
  </r>
  <r>
    <n v="19081056"/>
    <x v="8"/>
    <s v="Rojo"/>
    <s v="Pilot"/>
    <n v="7"/>
    <n v="23"/>
    <n v="15"/>
    <n v="20"/>
    <n v="460"/>
  </r>
  <r>
    <n v="19081057"/>
    <x v="8"/>
    <s v="Azul"/>
    <s v="Pilot"/>
    <n v="22"/>
    <n v="57"/>
    <n v="15"/>
    <n v="20"/>
    <n v="1140"/>
  </r>
  <r>
    <n v="19081058"/>
    <x v="8"/>
    <s v="Negro"/>
    <s v="Azor"/>
    <n v="5"/>
    <n v="31"/>
    <n v="3"/>
    <n v="5"/>
    <n v="155"/>
  </r>
  <r>
    <n v="19081059"/>
    <x v="8"/>
    <s v="Rojo"/>
    <s v="Azor"/>
    <n v="5"/>
    <n v="10"/>
    <n v="3"/>
    <n v="5"/>
    <n v="50"/>
  </r>
  <r>
    <n v="19081060"/>
    <x v="8"/>
    <s v="Azul"/>
    <s v="Azor"/>
    <n v="14"/>
    <n v="37"/>
    <n v="3"/>
    <n v="5"/>
    <n v="185"/>
  </r>
  <r>
    <n v="19081061"/>
    <x v="9"/>
    <s v="Roja"/>
    <s v="Politec"/>
    <n v="17"/>
    <n v="60"/>
    <n v="10"/>
    <n v="15"/>
    <n v="900"/>
  </r>
  <r>
    <n v="19081062"/>
    <x v="9"/>
    <s v="Naranja "/>
    <s v="Politec"/>
    <n v="10"/>
    <n v="15"/>
    <n v="10"/>
    <n v="15"/>
    <n v="225"/>
  </r>
  <r>
    <n v="19081063"/>
    <x v="9"/>
    <s v="Amarillo"/>
    <s v="Politec"/>
    <n v="20"/>
    <n v="44"/>
    <n v="10"/>
    <n v="15"/>
    <n v="660"/>
  </r>
  <r>
    <n v="19081064"/>
    <x v="9"/>
    <s v="Verde"/>
    <s v="Politec"/>
    <n v="20"/>
    <n v="54"/>
    <n v="10"/>
    <n v="15"/>
    <n v="810"/>
  </r>
  <r>
    <n v="19081065"/>
    <x v="9"/>
    <s v="Azul"/>
    <s v="Politec"/>
    <n v="9"/>
    <n v="39"/>
    <n v="10"/>
    <n v="15"/>
    <n v="585"/>
  </r>
  <r>
    <n v="19081066"/>
    <x v="9"/>
    <s v="Morado"/>
    <s v="Politec"/>
    <n v="14"/>
    <n v="65"/>
    <n v="10"/>
    <n v="15"/>
    <n v="975"/>
  </r>
  <r>
    <n v="19081067"/>
    <x v="9"/>
    <s v="Rosa"/>
    <s v="Politec"/>
    <n v="30"/>
    <n v="35"/>
    <n v="10"/>
    <n v="15"/>
    <n v="525"/>
  </r>
  <r>
    <n v="19081068"/>
    <x v="9"/>
    <s v="Café"/>
    <s v="Politec"/>
    <n v="6"/>
    <n v="65"/>
    <n v="10"/>
    <n v="15"/>
    <n v="975"/>
  </r>
  <r>
    <n v="19081069"/>
    <x v="9"/>
    <s v="Negro"/>
    <s v="Politec"/>
    <n v="13"/>
    <n v="69"/>
    <n v="10"/>
    <n v="15"/>
    <n v="1035"/>
  </r>
  <r>
    <n v="19081070"/>
    <x v="9"/>
    <s v="Gris"/>
    <s v="Politec"/>
    <n v="10"/>
    <n v="51"/>
    <n v="10"/>
    <n v="15"/>
    <n v="765"/>
  </r>
  <r>
    <n v="19081071"/>
    <x v="9"/>
    <s v="Blanco"/>
    <s v="Politec"/>
    <n v="19"/>
    <n v="44"/>
    <n v="10"/>
    <n v="15"/>
    <n v="660"/>
  </r>
  <r>
    <n v="19081072"/>
    <x v="10"/>
    <s v="Rojo"/>
    <s v="Norma"/>
    <n v="30"/>
    <n v="65"/>
    <n v="50"/>
    <n v="75"/>
    <n v="4875"/>
  </r>
  <r>
    <n v="19081073"/>
    <x v="10"/>
    <s v="Naranja "/>
    <s v="Norma"/>
    <n v="23"/>
    <n v="23"/>
    <n v="50"/>
    <n v="75"/>
    <n v="1725"/>
  </r>
  <r>
    <n v="19081074"/>
    <x v="10"/>
    <s v="Amarillo"/>
    <s v="Norma"/>
    <n v="12"/>
    <n v="29"/>
    <n v="50"/>
    <n v="75"/>
    <n v="2175"/>
  </r>
  <r>
    <n v="19081075"/>
    <x v="10"/>
    <s v="Verde"/>
    <s v="Norma"/>
    <n v="16"/>
    <n v="70"/>
    <n v="50"/>
    <n v="75"/>
    <n v="5250"/>
  </r>
  <r>
    <n v="19081076"/>
    <x v="10"/>
    <s v="Azul"/>
    <s v="Norma"/>
    <n v="9"/>
    <n v="62"/>
    <n v="50"/>
    <n v="75"/>
    <n v="4650"/>
  </r>
  <r>
    <n v="19081077"/>
    <x v="10"/>
    <s v="Morado"/>
    <s v="Norma"/>
    <n v="22"/>
    <n v="27"/>
    <n v="50"/>
    <n v="75"/>
    <n v="2025"/>
  </r>
  <r>
    <n v="19081078"/>
    <x v="10"/>
    <s v="Negro"/>
    <s v="Norma"/>
    <n v="28"/>
    <n v="67"/>
    <n v="50"/>
    <n v="75"/>
    <n v="5025"/>
  </r>
  <r>
    <n v="19081079"/>
    <x v="10"/>
    <s v="Gris"/>
    <s v="Norma"/>
    <n v="7"/>
    <n v="42"/>
    <n v="50"/>
    <n v="75"/>
    <n v="3150"/>
  </r>
  <r>
    <n v="19081080"/>
    <x v="10"/>
    <s v="Rojo"/>
    <s v="Scribe "/>
    <n v="30"/>
    <n v="56"/>
    <n v="35"/>
    <n v="55"/>
    <n v="3080"/>
  </r>
  <r>
    <n v="19081081"/>
    <x v="10"/>
    <s v="Naranja "/>
    <s v="Scribe "/>
    <n v="6"/>
    <n v="31"/>
    <n v="35"/>
    <n v="55"/>
    <n v="1705"/>
  </r>
  <r>
    <n v="19081082"/>
    <x v="10"/>
    <s v="Amarillo"/>
    <s v="Scribe "/>
    <n v="18"/>
    <n v="44"/>
    <n v="35"/>
    <n v="55"/>
    <n v="2420"/>
  </r>
  <r>
    <n v="19081083"/>
    <x v="10"/>
    <s v="Verde"/>
    <s v="Scribe "/>
    <n v="15"/>
    <n v="33"/>
    <n v="35"/>
    <n v="55"/>
    <n v="1815"/>
  </r>
  <r>
    <n v="19081084"/>
    <x v="10"/>
    <s v="Azul"/>
    <s v="Scribe "/>
    <n v="23"/>
    <n v="20"/>
    <n v="35"/>
    <n v="55"/>
    <n v="1100"/>
  </r>
  <r>
    <n v="19081085"/>
    <x v="10"/>
    <s v="Morado"/>
    <s v="Scribe "/>
    <n v="9"/>
    <n v="47"/>
    <n v="35"/>
    <n v="55"/>
    <n v="2585"/>
  </r>
  <r>
    <n v="19081086"/>
    <x v="10"/>
    <s v="Negro"/>
    <s v="Scribe "/>
    <n v="9"/>
    <n v="53"/>
    <n v="35"/>
    <n v="55"/>
    <n v="2915"/>
  </r>
  <r>
    <n v="19081087"/>
    <x v="11"/>
    <s v="Rojo"/>
    <s v="Norma"/>
    <n v="8"/>
    <n v="19"/>
    <n v="50"/>
    <n v="75"/>
    <n v="1425"/>
  </r>
  <r>
    <n v="19081088"/>
    <x v="11"/>
    <s v="Naranja "/>
    <s v="Norma"/>
    <n v="9"/>
    <n v="15"/>
    <n v="50"/>
    <n v="75"/>
    <n v="1125"/>
  </r>
  <r>
    <n v="19081089"/>
    <x v="11"/>
    <s v="Amarillo"/>
    <s v="Norma"/>
    <n v="12"/>
    <n v="42"/>
    <n v="50"/>
    <n v="75"/>
    <n v="3150"/>
  </r>
  <r>
    <n v="19081090"/>
    <x v="11"/>
    <s v="Verde"/>
    <s v="Norma"/>
    <n v="22"/>
    <n v="65"/>
    <n v="50"/>
    <n v="75"/>
    <n v="4875"/>
  </r>
  <r>
    <n v="19081091"/>
    <x v="11"/>
    <s v="Azul"/>
    <s v="Norma"/>
    <n v="5"/>
    <n v="32"/>
    <n v="50"/>
    <n v="75"/>
    <n v="2400"/>
  </r>
  <r>
    <n v="19081092"/>
    <x v="11"/>
    <s v="Morado"/>
    <s v="Norma"/>
    <n v="9"/>
    <n v="35"/>
    <n v="50"/>
    <n v="75"/>
    <n v="2625"/>
  </r>
  <r>
    <n v="19081093"/>
    <x v="11"/>
    <s v="Negro"/>
    <s v="Norma"/>
    <n v="13"/>
    <n v="68"/>
    <n v="50"/>
    <n v="75"/>
    <n v="5100"/>
  </r>
  <r>
    <n v="19081094"/>
    <x v="11"/>
    <s v="Gris"/>
    <s v="Norma"/>
    <n v="11"/>
    <n v="23"/>
    <n v="50"/>
    <n v="75"/>
    <n v="1725"/>
  </r>
  <r>
    <n v="19081095"/>
    <x v="11"/>
    <s v="Rojo"/>
    <s v="Scribe "/>
    <n v="16"/>
    <n v="41"/>
    <n v="35"/>
    <n v="55"/>
    <n v="2255"/>
  </r>
  <r>
    <n v="19081096"/>
    <x v="11"/>
    <s v="Naranja "/>
    <s v="Scribe "/>
    <n v="10"/>
    <n v="38"/>
    <n v="35"/>
    <n v="55"/>
    <n v="2090"/>
  </r>
  <r>
    <n v="19081097"/>
    <x v="11"/>
    <s v="Amarillo"/>
    <s v="Scribe "/>
    <n v="9"/>
    <n v="50"/>
    <n v="35"/>
    <n v="55"/>
    <n v="2750"/>
  </r>
  <r>
    <n v="19081098"/>
    <x v="11"/>
    <s v="Verde"/>
    <s v="Scribe "/>
    <n v="8"/>
    <n v="22"/>
    <n v="35"/>
    <n v="55"/>
    <n v="1210"/>
  </r>
  <r>
    <n v="19081099"/>
    <x v="11"/>
    <s v="Azul"/>
    <s v="Scribe "/>
    <n v="20"/>
    <n v="49"/>
    <n v="35"/>
    <n v="55"/>
    <n v="2695"/>
  </r>
  <r>
    <n v="19081100"/>
    <x v="11"/>
    <s v="Morado"/>
    <s v="Scribe "/>
    <n v="19"/>
    <n v="46"/>
    <n v="35"/>
    <n v="55"/>
    <n v="2530"/>
  </r>
  <r>
    <n v="19081101"/>
    <x v="11"/>
    <s v="Negro"/>
    <s v="Scribe "/>
    <n v="22"/>
    <n v="45"/>
    <n v="35"/>
    <n v="55"/>
    <n v="2475"/>
  </r>
  <r>
    <n v="19081102"/>
    <x v="12"/>
    <s v="Blanco"/>
    <s v="Tony"/>
    <n v="21"/>
    <n v="57"/>
    <n v="2"/>
    <n v="5"/>
    <n v="285"/>
  </r>
  <r>
    <n v="19081103"/>
    <x v="12"/>
    <s v="Negro"/>
    <s v="Tony"/>
    <n v="15"/>
    <n v="68"/>
    <n v="2"/>
    <n v="5"/>
    <n v="340"/>
  </r>
  <r>
    <n v="19081104"/>
    <x v="12"/>
    <s v="Azul"/>
    <s v="Tony"/>
    <n v="18"/>
    <n v="43"/>
    <n v="2"/>
    <n v="5"/>
    <n v="215"/>
  </r>
  <r>
    <n v="19081105"/>
    <x v="12"/>
    <s v="Verde"/>
    <s v="Tony"/>
    <n v="23"/>
    <n v="68"/>
    <n v="2"/>
    <n v="5"/>
    <n v="340"/>
  </r>
  <r>
    <n v="19081106"/>
    <x v="12"/>
    <s v="Naranja "/>
    <s v="Tony"/>
    <n v="26"/>
    <n v="36"/>
    <n v="2"/>
    <n v="5"/>
    <n v="180"/>
  </r>
  <r>
    <n v="19081107"/>
    <x v="12"/>
    <s v="Amarillo"/>
    <s v="Tony"/>
    <n v="20"/>
    <n v="19"/>
    <n v="2"/>
    <n v="5"/>
    <n v="95"/>
  </r>
  <r>
    <n v="19081108"/>
    <x v="12"/>
    <s v="Rosa"/>
    <s v="Tony"/>
    <n v="18"/>
    <n v="37"/>
    <n v="2"/>
    <n v="5"/>
    <n v="185"/>
  </r>
  <r>
    <n v="19081109"/>
    <x v="12"/>
    <s v="Rojo "/>
    <s v="Tony"/>
    <n v="27"/>
    <n v="40"/>
    <n v="2"/>
    <n v="5"/>
    <n v="200"/>
  </r>
  <r>
    <n v="19081110"/>
    <x v="13"/>
    <s v="Gris"/>
    <s v="Tony"/>
    <n v="17"/>
    <n v="45"/>
    <n v="0.5"/>
    <n v="2"/>
    <n v="90"/>
  </r>
  <r>
    <n v="19081111"/>
    <x v="13"/>
    <s v="Rojo"/>
    <s v="Tony"/>
    <n v="30"/>
    <n v="39"/>
    <n v="0.5"/>
    <n v="2"/>
    <n v="78"/>
  </r>
  <r>
    <n v="19081112"/>
    <x v="13"/>
    <s v="Naranja "/>
    <s v="Tony"/>
    <n v="12"/>
    <n v="16"/>
    <n v="0.5"/>
    <n v="2"/>
    <n v="32"/>
  </r>
  <r>
    <n v="19081113"/>
    <x v="13"/>
    <s v="Amarillo"/>
    <s v="Tony"/>
    <n v="28"/>
    <n v="33"/>
    <n v="0.5"/>
    <n v="2"/>
    <n v="66"/>
  </r>
  <r>
    <n v="19081114"/>
    <x v="13"/>
    <s v="Verde"/>
    <s v="Tony"/>
    <n v="14"/>
    <n v="70"/>
    <n v="0.5"/>
    <n v="2"/>
    <n v="140"/>
  </r>
  <r>
    <n v="19081115"/>
    <x v="13"/>
    <s v="Azul"/>
    <s v="Tony"/>
    <n v="9"/>
    <n v="34"/>
    <n v="0.5"/>
    <n v="2"/>
    <n v="68"/>
  </r>
  <r>
    <n v="19081116"/>
    <x v="13"/>
    <s v="Morado"/>
    <s v="Tony"/>
    <n v="16"/>
    <n v="48"/>
    <n v="0.5"/>
    <n v="2"/>
    <n v="96"/>
  </r>
  <r>
    <n v="19081117"/>
    <x v="13"/>
    <s v="Negro"/>
    <s v="Tony"/>
    <n v="19"/>
    <n v="58"/>
    <n v="0.5"/>
    <n v="2"/>
    <n v="116"/>
  </r>
  <r>
    <n v="19081118"/>
    <x v="13"/>
    <s v="Blanco"/>
    <s v="Tony"/>
    <n v="19"/>
    <n v="52"/>
    <n v="0.5"/>
    <n v="2"/>
    <n v="1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">
  <r>
    <x v="0"/>
    <n v="570"/>
    <n v="2850"/>
  </r>
  <r>
    <x v="1"/>
    <n v="168"/>
    <n v="1133"/>
  </r>
  <r>
    <x v="2"/>
    <n v="95"/>
    <n v="1724"/>
  </r>
  <r>
    <x v="3"/>
    <n v="164"/>
    <n v="1115"/>
  </r>
  <r>
    <x v="4"/>
    <n v="215"/>
    <n v="1658"/>
  </r>
  <r>
    <x v="5"/>
    <n v="224"/>
    <n v="515"/>
  </r>
  <r>
    <x v="6"/>
    <n v="348"/>
    <n v="3480"/>
  </r>
  <r>
    <x v="7"/>
    <n v="345"/>
    <n v="5142"/>
  </r>
  <r>
    <x v="8"/>
    <n v="430"/>
    <n v="1216"/>
  </r>
  <r>
    <x v="9"/>
    <n v="541"/>
    <n v="2705"/>
  </r>
  <r>
    <x v="10"/>
    <n v="669"/>
    <n v="15305"/>
  </r>
  <r>
    <x v="11"/>
    <n v="590"/>
    <n v="13295"/>
  </r>
  <r>
    <x v="12"/>
    <n v="368"/>
    <n v="1104"/>
  </r>
  <r>
    <x v="13"/>
    <n v="395"/>
    <n v="592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19">
  <r>
    <n v="19081001"/>
    <s v="Sacapuntas de plastico"/>
    <s v="Rojo"/>
    <x v="0"/>
    <n v="6"/>
    <n v="39"/>
    <n v="10"/>
    <n v="15"/>
    <n v="585"/>
    <n v="5"/>
    <n v="195"/>
  </r>
  <r>
    <n v="19081002"/>
    <s v="Sacapuntas de plastico"/>
    <s v="Azul"/>
    <x v="0"/>
    <n v="7"/>
    <n v="47"/>
    <n v="10"/>
    <n v="15"/>
    <n v="705"/>
    <n v="5"/>
    <n v="235"/>
  </r>
  <r>
    <n v="19081003"/>
    <s v="Sacapuntas de plastico"/>
    <s v="Verde"/>
    <x v="0"/>
    <n v="25"/>
    <n v="57"/>
    <n v="10"/>
    <n v="15"/>
    <n v="855"/>
    <n v="5"/>
    <n v="285"/>
  </r>
  <r>
    <n v="19081004"/>
    <s v="Sacapuntas de plastico"/>
    <s v="Morado"/>
    <x v="0"/>
    <n v="24"/>
    <n v="32"/>
    <n v="10"/>
    <n v="15"/>
    <n v="480"/>
    <n v="5"/>
    <n v="160"/>
  </r>
  <r>
    <n v="19081005"/>
    <s v="Sacapuntas de plastico"/>
    <s v="Naranja "/>
    <x v="1"/>
    <n v="11"/>
    <n v="36"/>
    <n v="13"/>
    <n v="18"/>
    <n v="648"/>
    <n v="5"/>
    <n v="180"/>
  </r>
  <r>
    <n v="19081006"/>
    <s v="Sacapuntas de plastico"/>
    <s v="Amarillo"/>
    <x v="1"/>
    <n v="19"/>
    <n v="19"/>
    <n v="13"/>
    <n v="18"/>
    <n v="342"/>
    <n v="5"/>
    <n v="95"/>
  </r>
  <r>
    <n v="19081007"/>
    <s v="Sacapuntas de plastico"/>
    <s v="Rojo"/>
    <x v="1"/>
    <n v="21"/>
    <n v="70"/>
    <n v="13"/>
    <n v="18"/>
    <n v="1260"/>
    <n v="5"/>
    <n v="350"/>
  </r>
  <r>
    <n v="19081008"/>
    <s v="Sacapuntas de plastico"/>
    <s v="Azul"/>
    <x v="1"/>
    <n v="18"/>
    <n v="28"/>
    <n v="13"/>
    <n v="18"/>
    <n v="504"/>
    <n v="5"/>
    <n v="140"/>
  </r>
  <r>
    <n v="19081009"/>
    <s v="Sacapuntas de plastico"/>
    <s v="Verde"/>
    <x v="1"/>
    <n v="28"/>
    <n v="56"/>
    <n v="13"/>
    <n v="18"/>
    <n v="1008"/>
    <n v="5"/>
    <n v="280"/>
  </r>
  <r>
    <n v="19081010"/>
    <s v="Sacapuntas de plastico"/>
    <s v="Rojo"/>
    <x v="2"/>
    <n v="12"/>
    <n v="54"/>
    <n v="9"/>
    <n v="14"/>
    <n v="756"/>
    <n v="5"/>
    <n v="270"/>
  </r>
  <r>
    <n v="19081011"/>
    <s v="Sacapuntas de plastico"/>
    <s v="Rosa"/>
    <x v="2"/>
    <n v="21"/>
    <n v="69"/>
    <n v="9"/>
    <n v="14"/>
    <n v="966"/>
    <n v="5"/>
    <n v="345"/>
  </r>
  <r>
    <n v="19081012"/>
    <s v="Sacapuntas de plastico"/>
    <s v="Negro"/>
    <x v="2"/>
    <n v="10"/>
    <n v="21"/>
    <n v="9"/>
    <n v="14"/>
    <n v="294"/>
    <n v="5"/>
    <n v="105"/>
  </r>
  <r>
    <n v="19081013"/>
    <s v="Sacapuntas de plastico"/>
    <s v="Azul"/>
    <x v="2"/>
    <n v="6"/>
    <n v="42"/>
    <n v="9"/>
    <n v="14"/>
    <n v="588"/>
    <n v="5"/>
    <n v="210"/>
  </r>
  <r>
    <n v="19081014"/>
    <s v="Borrador de goma"/>
    <s v="Blanco"/>
    <x v="3"/>
    <n v="12"/>
    <n v="52"/>
    <n v="2"/>
    <n v="6"/>
    <n v="312"/>
    <n v="4"/>
    <n v="208"/>
  </r>
  <r>
    <n v="19081015"/>
    <s v="Borrador de goma"/>
    <s v="Blanco"/>
    <x v="0"/>
    <n v="8"/>
    <n v="47"/>
    <n v="3"/>
    <n v="8"/>
    <n v="376"/>
    <n v="5"/>
    <n v="235"/>
  </r>
  <r>
    <n v="19081016"/>
    <s v="Borrador de goma"/>
    <s v="Blanco"/>
    <x v="4"/>
    <n v="11"/>
    <n v="13"/>
    <n v="15"/>
    <n v="25"/>
    <n v="325"/>
    <n v="10"/>
    <n v="130"/>
  </r>
  <r>
    <n v="19081017"/>
    <s v="Borrador de goma"/>
    <s v="Blanco"/>
    <x v="5"/>
    <n v="9"/>
    <n v="56"/>
    <n v="20"/>
    <n v="30"/>
    <n v="1680"/>
    <n v="10"/>
    <n v="560"/>
  </r>
  <r>
    <n v="19081018"/>
    <s v="Borrador de migajon "/>
    <s v="Beige"/>
    <x v="0"/>
    <n v="18"/>
    <n v="11"/>
    <n v="5"/>
    <n v="9"/>
    <n v="99"/>
    <n v="4"/>
    <n v="44"/>
  </r>
  <r>
    <n v="19081019"/>
    <s v="Borrador de migajon "/>
    <s v="Beige"/>
    <x v="5"/>
    <n v="22"/>
    <n v="22"/>
    <n v="40"/>
    <n v="60"/>
    <n v="1320"/>
    <n v="20"/>
    <n v="440"/>
  </r>
  <r>
    <n v="19081020"/>
    <s v="Borrador de migajon "/>
    <s v="Beige"/>
    <x v="4"/>
    <n v="14"/>
    <n v="62"/>
    <n v="30"/>
    <n v="50"/>
    <n v="3100"/>
    <n v="20"/>
    <n v="1240"/>
  </r>
  <r>
    <n v="19081021"/>
    <s v="Pegamento liquido"/>
    <s v="Blanco"/>
    <x v="6"/>
    <n v="10"/>
    <n v="12"/>
    <n v="25"/>
    <n v="35"/>
    <n v="420"/>
    <n v="10"/>
    <n v="120"/>
  </r>
  <r>
    <n v="19081022"/>
    <s v="Pegamento liquido"/>
    <s v="Blanco"/>
    <x v="7"/>
    <n v="13"/>
    <n v="47"/>
    <n v="30"/>
    <n v="40"/>
    <n v="1880"/>
    <n v="10"/>
    <n v="470"/>
  </r>
  <r>
    <n v="19081023"/>
    <s v="Pegamento liquido"/>
    <s v="Blanco"/>
    <x v="8"/>
    <n v="5"/>
    <n v="36"/>
    <n v="30"/>
    <n v="35"/>
    <n v="1260"/>
    <n v="5"/>
    <n v="180"/>
  </r>
  <r>
    <n v="19081024"/>
    <s v="Pegamento liquido"/>
    <s v="Blanco"/>
    <x v="9"/>
    <n v="22"/>
    <n v="69"/>
    <n v="35"/>
    <n v="40"/>
    <n v="2760"/>
    <n v="5"/>
    <n v="345"/>
  </r>
  <r>
    <n v="19081025"/>
    <s v="Pegamento en barra"/>
    <s v="Blanco"/>
    <x v="6"/>
    <n v="19"/>
    <n v="51"/>
    <n v="15"/>
    <n v="25"/>
    <n v="1275"/>
    <n v="10"/>
    <n v="510"/>
  </r>
  <r>
    <n v="19081026"/>
    <s v="Pegamento en barra"/>
    <s v="Blanco"/>
    <x v="7"/>
    <n v="27"/>
    <n v="32"/>
    <n v="8"/>
    <n v="15"/>
    <n v="480"/>
    <n v="7"/>
    <n v="224"/>
  </r>
  <r>
    <n v="19081027"/>
    <s v="Pegamento en barra"/>
    <s v="Blanco"/>
    <x v="8"/>
    <n v="16"/>
    <n v="64"/>
    <n v="10"/>
    <n v="17"/>
    <n v="1088"/>
    <n v="7"/>
    <n v="448"/>
  </r>
  <r>
    <n v="19081028"/>
    <s v="Pegamento en barra"/>
    <s v="Blanco"/>
    <x v="9"/>
    <n v="14"/>
    <n v="68"/>
    <n v="13"/>
    <n v="20"/>
    <n v="1360"/>
    <n v="7"/>
    <n v="476"/>
  </r>
  <r>
    <n v="19081029"/>
    <s v="Lápiz"/>
    <s v="Amarillo"/>
    <x v="8"/>
    <n v="20"/>
    <n v="23"/>
    <n v="3"/>
    <n v="5"/>
    <n v="115"/>
    <n v="2"/>
    <n v="46"/>
  </r>
  <r>
    <n v="19081030"/>
    <s v="Lápiz"/>
    <s v="Amarillo"/>
    <x v="10"/>
    <n v="19"/>
    <n v="12"/>
    <n v="5"/>
    <n v="7"/>
    <n v="84"/>
    <n v="2"/>
    <n v="24"/>
  </r>
  <r>
    <n v="19081031"/>
    <s v="Lápiz"/>
    <s v="Amarillo"/>
    <x v="0"/>
    <n v="16"/>
    <n v="67"/>
    <n v="4"/>
    <n v="7"/>
    <n v="469"/>
    <n v="3"/>
    <n v="201"/>
  </r>
  <r>
    <n v="19081032"/>
    <s v="Lápiz"/>
    <s v="Verde"/>
    <x v="11"/>
    <n v="16"/>
    <n v="68"/>
    <n v="5"/>
    <n v="7"/>
    <n v="476"/>
    <n v="2"/>
    <n v="136"/>
  </r>
  <r>
    <n v="19081033"/>
    <s v="Lápiz"/>
    <s v="Naranja "/>
    <x v="1"/>
    <n v="8"/>
    <n v="54"/>
    <n v="3"/>
    <n v="5"/>
    <n v="270"/>
    <n v="2"/>
    <n v="108"/>
  </r>
  <r>
    <n v="19081034"/>
    <s v="Plumon para pizarron"/>
    <s v="Negro"/>
    <x v="12"/>
    <n v="22"/>
    <n v="61"/>
    <n v="25"/>
    <n v="35"/>
    <n v="2135"/>
    <n v="10"/>
    <n v="610"/>
  </r>
  <r>
    <n v="19081035"/>
    <s v="Plumon para pizarron"/>
    <s v="Rojo"/>
    <x v="12"/>
    <n v="27"/>
    <n v="45"/>
    <n v="25"/>
    <n v="35"/>
    <n v="1575"/>
    <n v="10"/>
    <n v="450"/>
  </r>
  <r>
    <n v="19081036"/>
    <s v="Plumon para pizarron"/>
    <s v="Azul"/>
    <x v="12"/>
    <n v="29"/>
    <n v="42"/>
    <n v="25"/>
    <n v="35"/>
    <n v="1470"/>
    <n v="10"/>
    <n v="420"/>
  </r>
  <r>
    <n v="19081037"/>
    <s v="Plumon para pizarron"/>
    <s v="Verde"/>
    <x v="12"/>
    <n v="25"/>
    <n v="70"/>
    <n v="25"/>
    <n v="35"/>
    <n v="2450"/>
    <n v="10"/>
    <n v="700"/>
  </r>
  <r>
    <n v="19081038"/>
    <s v="Plumon para pizarron"/>
    <s v="Negro"/>
    <x v="13"/>
    <n v="26"/>
    <n v="16"/>
    <n v="20"/>
    <n v="30"/>
    <n v="480"/>
    <n v="10"/>
    <n v="160"/>
  </r>
  <r>
    <n v="19081039"/>
    <s v="Plumon para pizarron"/>
    <s v="Rojo"/>
    <x v="13"/>
    <n v="5"/>
    <n v="22"/>
    <n v="20"/>
    <n v="30"/>
    <n v="660"/>
    <n v="10"/>
    <n v="220"/>
  </r>
  <r>
    <n v="19081040"/>
    <s v="Plumon para pizarron"/>
    <s v="Azul"/>
    <x v="13"/>
    <n v="12"/>
    <n v="24"/>
    <n v="20"/>
    <n v="30"/>
    <n v="720"/>
    <n v="10"/>
    <n v="240"/>
  </r>
  <r>
    <n v="19081041"/>
    <s v="Plumon para pizarron"/>
    <s v="Verde"/>
    <x v="13"/>
    <n v="22"/>
    <n v="68"/>
    <n v="20"/>
    <n v="30"/>
    <n v="2040"/>
    <n v="10"/>
    <n v="680"/>
  </r>
  <r>
    <n v="19081042"/>
    <s v="Caja de colores 24pz"/>
    <s v="Arcoiris"/>
    <x v="5"/>
    <n v="25"/>
    <n v="15"/>
    <n v="170"/>
    <n v="200"/>
    <n v="3000"/>
    <n v="30"/>
    <n v="450"/>
  </r>
  <r>
    <n v="19081043"/>
    <s v="Caja de colores 24pz"/>
    <s v="Arcoiris"/>
    <x v="2"/>
    <n v="19"/>
    <n v="70"/>
    <n v="180"/>
    <n v="190"/>
    <n v="13300"/>
    <n v="10"/>
    <n v="700"/>
  </r>
  <r>
    <n v="19081044"/>
    <s v="Caja de colores 24pz"/>
    <s v="Arcoiris"/>
    <x v="10"/>
    <n v="5"/>
    <n v="30"/>
    <n v="150"/>
    <n v="165"/>
    <n v="4950"/>
    <n v="15"/>
    <n v="450"/>
  </r>
  <r>
    <n v="19081045"/>
    <s v="Caja de colores 24pz"/>
    <s v="Arcoiris"/>
    <x v="1"/>
    <n v="23"/>
    <n v="54"/>
    <n v="100"/>
    <n v="120"/>
    <n v="6480"/>
    <n v="20"/>
    <n v="1080"/>
  </r>
  <r>
    <n v="19081046"/>
    <s v="Caja de colores 24pz"/>
    <s v="Arcoiris"/>
    <x v="8"/>
    <n v="13"/>
    <n v="59"/>
    <n v="60"/>
    <n v="70"/>
    <n v="4130"/>
    <n v="10"/>
    <n v="590"/>
  </r>
  <r>
    <n v="19081047"/>
    <s v="Caja de colores 24pz"/>
    <s v="Arcoiris"/>
    <x v="14"/>
    <n v="17"/>
    <n v="53"/>
    <n v="170"/>
    <n v="186"/>
    <n v="9858"/>
    <n v="16"/>
    <n v="848"/>
  </r>
  <r>
    <n v="19081048"/>
    <s v="Caja de colores 24pz"/>
    <s v="Arcoiris"/>
    <x v="11"/>
    <n v="27"/>
    <n v="64"/>
    <n v="170"/>
    <n v="186"/>
    <n v="11904"/>
    <n v="16"/>
    <n v="1024"/>
  </r>
  <r>
    <n v="19081049"/>
    <s v="Boligrafo"/>
    <s v="Negro"/>
    <x v="10"/>
    <n v="14"/>
    <n v="37"/>
    <n v="5"/>
    <n v="6"/>
    <n v="222"/>
    <n v="1"/>
    <n v="37"/>
  </r>
  <r>
    <n v="19081050"/>
    <s v="Boligrafo"/>
    <s v="Rojo"/>
    <x v="10"/>
    <n v="15"/>
    <n v="48"/>
    <n v="5"/>
    <n v="6"/>
    <n v="288"/>
    <n v="1"/>
    <n v="48"/>
  </r>
  <r>
    <n v="19081051"/>
    <s v="Boligrafo"/>
    <s v="Azul"/>
    <x v="10"/>
    <n v="12"/>
    <n v="58"/>
    <n v="5"/>
    <n v="6"/>
    <n v="348"/>
    <n v="1"/>
    <n v="58"/>
  </r>
  <r>
    <n v="19081052"/>
    <s v="Boligrafo"/>
    <s v="Negro"/>
    <x v="11"/>
    <n v="19"/>
    <n v="37"/>
    <n v="2"/>
    <n v="5"/>
    <n v="185"/>
    <n v="3"/>
    <n v="111"/>
  </r>
  <r>
    <n v="19081053"/>
    <s v="Boligrafo"/>
    <s v="Rojo"/>
    <x v="11"/>
    <n v="22"/>
    <n v="10"/>
    <n v="2"/>
    <n v="5"/>
    <n v="50"/>
    <n v="3"/>
    <n v="30"/>
  </r>
  <r>
    <n v="19081054"/>
    <s v="Boligrafo"/>
    <s v="Azul"/>
    <x v="11"/>
    <n v="30"/>
    <n v="17"/>
    <n v="2"/>
    <n v="5"/>
    <n v="85"/>
    <n v="3"/>
    <n v="51"/>
  </r>
  <r>
    <n v="19081055"/>
    <s v="Boligrafo"/>
    <s v="Negro"/>
    <x v="15"/>
    <n v="21"/>
    <n v="65"/>
    <n v="15"/>
    <n v="20"/>
    <n v="1300"/>
    <n v="5"/>
    <n v="325"/>
  </r>
  <r>
    <n v="19081056"/>
    <s v="Boligrafo"/>
    <s v="Rojo"/>
    <x v="15"/>
    <n v="7"/>
    <n v="23"/>
    <n v="15"/>
    <n v="20"/>
    <n v="460"/>
    <n v="5"/>
    <n v="115"/>
  </r>
  <r>
    <n v="19081057"/>
    <s v="Boligrafo"/>
    <s v="Azul"/>
    <x v="15"/>
    <n v="22"/>
    <n v="57"/>
    <n v="15"/>
    <n v="20"/>
    <n v="1140"/>
    <n v="5"/>
    <n v="285"/>
  </r>
  <r>
    <n v="19081058"/>
    <s v="Boligrafo"/>
    <s v="Negro"/>
    <x v="16"/>
    <n v="5"/>
    <n v="31"/>
    <n v="3"/>
    <n v="5"/>
    <n v="155"/>
    <n v="2"/>
    <n v="62"/>
  </r>
  <r>
    <n v="19081059"/>
    <s v="Boligrafo"/>
    <s v="Rojo"/>
    <x v="16"/>
    <n v="5"/>
    <n v="10"/>
    <n v="3"/>
    <n v="5"/>
    <n v="50"/>
    <n v="2"/>
    <n v="20"/>
  </r>
  <r>
    <n v="19081060"/>
    <s v="Boligrafo"/>
    <s v="Azul"/>
    <x v="16"/>
    <n v="14"/>
    <n v="37"/>
    <n v="3"/>
    <n v="5"/>
    <n v="185"/>
    <n v="2"/>
    <n v="74"/>
  </r>
  <r>
    <n v="19081061"/>
    <s v="Pintura Acrilica"/>
    <s v="Roja"/>
    <x v="17"/>
    <n v="17"/>
    <n v="60"/>
    <n v="10"/>
    <n v="15"/>
    <n v="900"/>
    <n v="5"/>
    <n v="300"/>
  </r>
  <r>
    <n v="19081062"/>
    <s v="Pintura Acrilica"/>
    <s v="Naranja "/>
    <x v="17"/>
    <n v="10"/>
    <n v="15"/>
    <n v="10"/>
    <n v="15"/>
    <n v="225"/>
    <n v="5"/>
    <n v="75"/>
  </r>
  <r>
    <n v="19081063"/>
    <s v="Pintura Acrilica"/>
    <s v="Amarillo"/>
    <x v="17"/>
    <n v="20"/>
    <n v="44"/>
    <n v="10"/>
    <n v="15"/>
    <n v="660"/>
    <n v="5"/>
    <n v="220"/>
  </r>
  <r>
    <n v="19081064"/>
    <s v="Pintura Acrilica"/>
    <s v="Verde"/>
    <x v="17"/>
    <n v="20"/>
    <n v="54"/>
    <n v="10"/>
    <n v="15"/>
    <n v="810"/>
    <n v="5"/>
    <n v="270"/>
  </r>
  <r>
    <n v="19081065"/>
    <s v="Pintura Acrilica"/>
    <s v="Azul"/>
    <x v="17"/>
    <n v="9"/>
    <n v="39"/>
    <n v="10"/>
    <n v="15"/>
    <n v="585"/>
    <n v="5"/>
    <n v="195"/>
  </r>
  <r>
    <n v="19081066"/>
    <s v="Pintura Acrilica"/>
    <s v="Morado"/>
    <x v="17"/>
    <n v="14"/>
    <n v="65"/>
    <n v="10"/>
    <n v="15"/>
    <n v="975"/>
    <n v="5"/>
    <n v="325"/>
  </r>
  <r>
    <n v="19081067"/>
    <s v="Pintura Acrilica"/>
    <s v="Rosa"/>
    <x v="17"/>
    <n v="30"/>
    <n v="35"/>
    <n v="10"/>
    <n v="15"/>
    <n v="525"/>
    <n v="5"/>
    <n v="175"/>
  </r>
  <r>
    <n v="19081068"/>
    <s v="Pintura Acrilica"/>
    <s v="Café"/>
    <x v="17"/>
    <n v="6"/>
    <n v="65"/>
    <n v="10"/>
    <n v="15"/>
    <n v="975"/>
    <n v="5"/>
    <n v="325"/>
  </r>
  <r>
    <n v="19081069"/>
    <s v="Pintura Acrilica"/>
    <s v="Negro"/>
    <x v="17"/>
    <n v="13"/>
    <n v="69"/>
    <n v="10"/>
    <n v="15"/>
    <n v="1035"/>
    <n v="5"/>
    <n v="345"/>
  </r>
  <r>
    <n v="19081070"/>
    <s v="Pintura Acrilica"/>
    <s v="Gris"/>
    <x v="17"/>
    <n v="10"/>
    <n v="51"/>
    <n v="10"/>
    <n v="15"/>
    <n v="765"/>
    <n v="5"/>
    <n v="255"/>
  </r>
  <r>
    <n v="19081071"/>
    <s v="Pintura Acrilica"/>
    <s v="Blanco"/>
    <x v="17"/>
    <n v="19"/>
    <n v="44"/>
    <n v="10"/>
    <n v="15"/>
    <n v="660"/>
    <n v="5"/>
    <n v="220"/>
  </r>
  <r>
    <n v="19081072"/>
    <s v="Libreta de Rayas"/>
    <s v="Rojo"/>
    <x v="2"/>
    <n v="30"/>
    <n v="65"/>
    <n v="50"/>
    <n v="75"/>
    <n v="4875"/>
    <n v="25"/>
    <n v="1625"/>
  </r>
  <r>
    <n v="19081073"/>
    <s v="Libreta de Rayas"/>
    <s v="Naranja "/>
    <x v="2"/>
    <n v="23"/>
    <n v="23"/>
    <n v="50"/>
    <n v="75"/>
    <n v="1725"/>
    <n v="25"/>
    <n v="575"/>
  </r>
  <r>
    <n v="19081074"/>
    <s v="Libreta de Rayas"/>
    <s v="Amarillo"/>
    <x v="2"/>
    <n v="12"/>
    <n v="29"/>
    <n v="50"/>
    <n v="75"/>
    <n v="2175"/>
    <n v="25"/>
    <n v="725"/>
  </r>
  <r>
    <n v="19081075"/>
    <s v="Libreta de Rayas"/>
    <s v="Verde"/>
    <x v="2"/>
    <n v="16"/>
    <n v="70"/>
    <n v="50"/>
    <n v="75"/>
    <n v="5250"/>
    <n v="25"/>
    <n v="1750"/>
  </r>
  <r>
    <n v="19081076"/>
    <s v="Libreta de Rayas"/>
    <s v="Azul"/>
    <x v="2"/>
    <n v="9"/>
    <n v="62"/>
    <n v="50"/>
    <n v="75"/>
    <n v="4650"/>
    <n v="25"/>
    <n v="1550"/>
  </r>
  <r>
    <n v="19081077"/>
    <s v="Libreta de Rayas"/>
    <s v="Morado"/>
    <x v="2"/>
    <n v="22"/>
    <n v="27"/>
    <n v="50"/>
    <n v="75"/>
    <n v="2025"/>
    <n v="25"/>
    <n v="675"/>
  </r>
  <r>
    <n v="19081078"/>
    <s v="Libreta de Rayas"/>
    <s v="Negro"/>
    <x v="2"/>
    <n v="28"/>
    <n v="67"/>
    <n v="50"/>
    <n v="75"/>
    <n v="5025"/>
    <n v="25"/>
    <n v="1675"/>
  </r>
  <r>
    <n v="19081079"/>
    <s v="Libreta de Rayas"/>
    <s v="Gris"/>
    <x v="2"/>
    <n v="7"/>
    <n v="42"/>
    <n v="50"/>
    <n v="75"/>
    <n v="3150"/>
    <n v="25"/>
    <n v="1050"/>
  </r>
  <r>
    <n v="19081080"/>
    <s v="Libreta de Rayas"/>
    <s v="Rojo"/>
    <x v="18"/>
    <n v="30"/>
    <n v="56"/>
    <n v="35"/>
    <n v="55"/>
    <n v="3080"/>
    <n v="20"/>
    <n v="1120"/>
  </r>
  <r>
    <n v="19081081"/>
    <s v="Libreta de Rayas"/>
    <s v="Naranja "/>
    <x v="18"/>
    <n v="6"/>
    <n v="31"/>
    <n v="35"/>
    <n v="55"/>
    <n v="1705"/>
    <n v="20"/>
    <n v="620"/>
  </r>
  <r>
    <n v="19081082"/>
    <s v="Libreta de Rayas"/>
    <s v="Amarillo"/>
    <x v="18"/>
    <n v="18"/>
    <n v="44"/>
    <n v="35"/>
    <n v="55"/>
    <n v="2420"/>
    <n v="20"/>
    <n v="880"/>
  </r>
  <r>
    <n v="19081083"/>
    <s v="Libreta de Rayas"/>
    <s v="Verde"/>
    <x v="18"/>
    <n v="15"/>
    <n v="33"/>
    <n v="35"/>
    <n v="55"/>
    <n v="1815"/>
    <n v="20"/>
    <n v="660"/>
  </r>
  <r>
    <n v="19081084"/>
    <s v="Libreta de Rayas"/>
    <s v="Azul"/>
    <x v="18"/>
    <n v="23"/>
    <n v="20"/>
    <n v="35"/>
    <n v="55"/>
    <n v="1100"/>
    <n v="20"/>
    <n v="400"/>
  </r>
  <r>
    <n v="19081085"/>
    <s v="Libreta de Rayas"/>
    <s v="Morado"/>
    <x v="18"/>
    <n v="9"/>
    <n v="47"/>
    <n v="35"/>
    <n v="55"/>
    <n v="2585"/>
    <n v="20"/>
    <n v="940"/>
  </r>
  <r>
    <n v="19081086"/>
    <s v="Libreta de Rayas"/>
    <s v="Negro"/>
    <x v="18"/>
    <n v="9"/>
    <n v="53"/>
    <n v="35"/>
    <n v="55"/>
    <n v="2915"/>
    <n v="20"/>
    <n v="1060"/>
  </r>
  <r>
    <n v="19081087"/>
    <s v="Libreta de Cuadros"/>
    <s v="Rojo"/>
    <x v="2"/>
    <n v="8"/>
    <n v="19"/>
    <n v="50"/>
    <n v="75"/>
    <n v="1425"/>
    <n v="25"/>
    <n v="475"/>
  </r>
  <r>
    <n v="19081088"/>
    <s v="Libreta de Cuadros"/>
    <s v="Naranja "/>
    <x v="2"/>
    <n v="9"/>
    <n v="15"/>
    <n v="50"/>
    <n v="75"/>
    <n v="1125"/>
    <n v="25"/>
    <n v="375"/>
  </r>
  <r>
    <n v="19081089"/>
    <s v="Libreta de Cuadros"/>
    <s v="Amarillo"/>
    <x v="2"/>
    <n v="12"/>
    <n v="42"/>
    <n v="50"/>
    <n v="75"/>
    <n v="3150"/>
    <n v="25"/>
    <n v="1050"/>
  </r>
  <r>
    <n v="19081090"/>
    <s v="Libreta de Cuadros"/>
    <s v="Verde"/>
    <x v="2"/>
    <n v="22"/>
    <n v="65"/>
    <n v="50"/>
    <n v="75"/>
    <n v="4875"/>
    <n v="25"/>
    <n v="1625"/>
  </r>
  <r>
    <n v="19081091"/>
    <s v="Libreta de Cuadros"/>
    <s v="Azul"/>
    <x v="2"/>
    <n v="5"/>
    <n v="32"/>
    <n v="50"/>
    <n v="75"/>
    <n v="2400"/>
    <n v="25"/>
    <n v="800"/>
  </r>
  <r>
    <n v="19081092"/>
    <s v="Libreta de Cuadros"/>
    <s v="Morado"/>
    <x v="2"/>
    <n v="9"/>
    <n v="35"/>
    <n v="50"/>
    <n v="75"/>
    <n v="2625"/>
    <n v="25"/>
    <n v="875"/>
  </r>
  <r>
    <n v="19081093"/>
    <s v="Libreta de Cuadros"/>
    <s v="Negro"/>
    <x v="2"/>
    <n v="13"/>
    <n v="68"/>
    <n v="50"/>
    <n v="75"/>
    <n v="5100"/>
    <n v="25"/>
    <n v="1700"/>
  </r>
  <r>
    <n v="19081094"/>
    <s v="Libreta de Cuadros"/>
    <s v="Gris"/>
    <x v="2"/>
    <n v="11"/>
    <n v="23"/>
    <n v="50"/>
    <n v="75"/>
    <n v="1725"/>
    <n v="25"/>
    <n v="575"/>
  </r>
  <r>
    <n v="19081095"/>
    <s v="Libreta de Cuadros"/>
    <s v="Rojo"/>
    <x v="18"/>
    <n v="16"/>
    <n v="41"/>
    <n v="35"/>
    <n v="55"/>
    <n v="2255"/>
    <n v="20"/>
    <n v="820"/>
  </r>
  <r>
    <n v="19081096"/>
    <s v="Libreta de Cuadros"/>
    <s v="Naranja "/>
    <x v="18"/>
    <n v="10"/>
    <n v="38"/>
    <n v="35"/>
    <n v="55"/>
    <n v="2090"/>
    <n v="20"/>
    <n v="760"/>
  </r>
  <r>
    <n v="19081097"/>
    <s v="Libreta de Cuadros"/>
    <s v="Amarillo"/>
    <x v="18"/>
    <n v="9"/>
    <n v="50"/>
    <n v="35"/>
    <n v="55"/>
    <n v="2750"/>
    <n v="20"/>
    <n v="1000"/>
  </r>
  <r>
    <n v="19081098"/>
    <s v="Libreta de Cuadros"/>
    <s v="Verde"/>
    <x v="18"/>
    <n v="8"/>
    <n v="22"/>
    <n v="35"/>
    <n v="55"/>
    <n v="1210"/>
    <n v="20"/>
    <n v="440"/>
  </r>
  <r>
    <n v="19081099"/>
    <s v="Libreta de Cuadros"/>
    <s v="Azul"/>
    <x v="18"/>
    <n v="20"/>
    <n v="49"/>
    <n v="35"/>
    <n v="55"/>
    <n v="2695"/>
    <n v="20"/>
    <n v="980"/>
  </r>
  <r>
    <n v="19081100"/>
    <s v="Libreta de Cuadros"/>
    <s v="Morado"/>
    <x v="18"/>
    <n v="19"/>
    <n v="46"/>
    <n v="35"/>
    <n v="55"/>
    <n v="2530"/>
    <n v="20"/>
    <n v="920"/>
  </r>
  <r>
    <n v="19081101"/>
    <s v="Libreta de Cuadros"/>
    <s v="Negro"/>
    <x v="18"/>
    <n v="22"/>
    <n v="45"/>
    <n v="35"/>
    <n v="55"/>
    <n v="2475"/>
    <n v="20"/>
    <n v="900"/>
  </r>
  <r>
    <n v="19081102"/>
    <s v="Cartulina"/>
    <s v="Blanco"/>
    <x v="19"/>
    <n v="21"/>
    <n v="57"/>
    <n v="2"/>
    <n v="5"/>
    <n v="285"/>
    <n v="3"/>
    <n v="171"/>
  </r>
  <r>
    <n v="19081103"/>
    <s v="Cartulina"/>
    <s v="Negro"/>
    <x v="19"/>
    <n v="15"/>
    <n v="68"/>
    <n v="2"/>
    <n v="5"/>
    <n v="340"/>
    <n v="3"/>
    <n v="204"/>
  </r>
  <r>
    <n v="19081104"/>
    <s v="Cartulina"/>
    <s v="Azul"/>
    <x v="19"/>
    <n v="18"/>
    <n v="43"/>
    <n v="2"/>
    <n v="5"/>
    <n v="215"/>
    <n v="3"/>
    <n v="129"/>
  </r>
  <r>
    <n v="19081105"/>
    <s v="Cartulina"/>
    <s v="Verde"/>
    <x v="19"/>
    <n v="23"/>
    <n v="68"/>
    <n v="2"/>
    <n v="5"/>
    <n v="340"/>
    <n v="3"/>
    <n v="204"/>
  </r>
  <r>
    <n v="19081106"/>
    <s v="Cartulina"/>
    <s v="Naranja "/>
    <x v="19"/>
    <n v="26"/>
    <n v="36"/>
    <n v="2"/>
    <n v="5"/>
    <n v="180"/>
    <n v="3"/>
    <n v="108"/>
  </r>
  <r>
    <n v="19081107"/>
    <s v="Cartulina"/>
    <s v="Amarillo"/>
    <x v="19"/>
    <n v="20"/>
    <n v="19"/>
    <n v="2"/>
    <n v="5"/>
    <n v="95"/>
    <n v="3"/>
    <n v="57"/>
  </r>
  <r>
    <n v="19081108"/>
    <s v="Cartulina"/>
    <s v="Rosa"/>
    <x v="19"/>
    <n v="18"/>
    <n v="37"/>
    <n v="2"/>
    <n v="5"/>
    <n v="185"/>
    <n v="3"/>
    <n v="111"/>
  </r>
  <r>
    <n v="19081109"/>
    <s v="Cartulina"/>
    <s v="Rojo "/>
    <x v="19"/>
    <n v="27"/>
    <n v="40"/>
    <n v="2"/>
    <n v="5"/>
    <n v="200"/>
    <n v="3"/>
    <n v="120"/>
  </r>
  <r>
    <n v="19081110"/>
    <s v="Hoja"/>
    <s v="Gris"/>
    <x v="19"/>
    <n v="17"/>
    <n v="45"/>
    <n v="0.5"/>
    <n v="2"/>
    <n v="90"/>
    <n v="1.5"/>
    <n v="67.5"/>
  </r>
  <r>
    <n v="19081111"/>
    <s v="Hoja"/>
    <s v="Rojo"/>
    <x v="19"/>
    <n v="30"/>
    <n v="39"/>
    <n v="0.5"/>
    <n v="2"/>
    <n v="78"/>
    <n v="1.5"/>
    <n v="58.5"/>
  </r>
  <r>
    <n v="19081112"/>
    <s v="Hoja"/>
    <s v="Naranja "/>
    <x v="19"/>
    <n v="12"/>
    <n v="16"/>
    <n v="0.5"/>
    <n v="2"/>
    <n v="32"/>
    <n v="1.5"/>
    <n v="24"/>
  </r>
  <r>
    <n v="19081113"/>
    <s v="Hoja"/>
    <s v="Amarillo"/>
    <x v="19"/>
    <n v="28"/>
    <n v="33"/>
    <n v="0.5"/>
    <n v="2"/>
    <n v="66"/>
    <n v="1.5"/>
    <n v="49.5"/>
  </r>
  <r>
    <n v="19081114"/>
    <s v="Hoja"/>
    <s v="Verde"/>
    <x v="19"/>
    <n v="14"/>
    <n v="70"/>
    <n v="0.5"/>
    <n v="2"/>
    <n v="140"/>
    <n v="1.5"/>
    <n v="105"/>
  </r>
  <r>
    <n v="19081115"/>
    <s v="Hoja"/>
    <s v="Azul"/>
    <x v="19"/>
    <n v="9"/>
    <n v="34"/>
    <n v="0.5"/>
    <n v="2"/>
    <n v="68"/>
    <n v="1.5"/>
    <n v="51"/>
  </r>
  <r>
    <n v="19081116"/>
    <s v="Hoja"/>
    <s v="Morado"/>
    <x v="19"/>
    <n v="16"/>
    <n v="48"/>
    <n v="0.5"/>
    <n v="2"/>
    <n v="96"/>
    <n v="1.5"/>
    <n v="72"/>
  </r>
  <r>
    <n v="19081117"/>
    <s v="Hoja"/>
    <s v="Negro"/>
    <x v="19"/>
    <n v="19"/>
    <n v="58"/>
    <n v="0.5"/>
    <n v="2"/>
    <n v="116"/>
    <n v="1.5"/>
    <n v="87"/>
  </r>
  <r>
    <n v="19081118"/>
    <s v="Hoja"/>
    <s v="Blanco"/>
    <x v="19"/>
    <n v="19"/>
    <n v="52"/>
    <n v="0.5"/>
    <n v="2"/>
    <n v="104"/>
    <n v="1.5"/>
    <n v="78"/>
  </r>
  <r>
    <m/>
    <m/>
    <m/>
    <x v="20"/>
    <n v="68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4:H19" firstHeaderRow="1" firstDataRow="1" firstDataCol="1"/>
  <pivotFields count="9">
    <pivotField showAll="0"/>
    <pivotField axis="axisRow" showAll="0">
      <items count="15">
        <item x="8"/>
        <item x="1"/>
        <item x="2"/>
        <item x="7"/>
        <item x="12"/>
        <item x="13"/>
        <item x="5"/>
        <item x="11"/>
        <item x="10"/>
        <item x="4"/>
        <item x="3"/>
        <item x="9"/>
        <item x="6"/>
        <item x="0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dataField="1" numFmtId="164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MONTO" fld="8" baseField="0" baseItem="0" numFmtId="44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 dinámica2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C49:E64" firstHeaderRow="0" firstDataRow="1" firstDataCol="1"/>
  <pivotFields count="3">
    <pivotField axis="axisRow" showAll="0">
      <items count="15">
        <item x="8"/>
        <item x="1"/>
        <item x="2"/>
        <item x="7"/>
        <item x="12"/>
        <item x="13"/>
        <item x="5"/>
        <item x="11"/>
        <item x="10"/>
        <item x="4"/>
        <item x="3"/>
        <item x="9"/>
        <item x="6"/>
        <item x="0"/>
        <item t="default"/>
      </items>
    </pivotField>
    <pivotField dataField="1" showAll="0"/>
    <pivotField dataField="1" numFmtId="44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 Ventas" fld="1" baseField="0" baseItem="0"/>
    <dataField name="Suma de Ganancia" fld="2" baseField="0" baseItem="0"/>
  </dataFields>
  <formats count="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field="0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1" cacheId="3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>
  <location ref="L5:M26" firstHeaderRow="1" firstDataRow="1" firstDataCol="1"/>
  <pivotFields count="11">
    <pivotField showAll="0"/>
    <pivotField showAll="0"/>
    <pivotField showAll="0"/>
    <pivotField axis="axisRow" showAll="0">
      <items count="22">
        <item x="16"/>
        <item n="Barrilito" x="3"/>
        <item x="11"/>
        <item x="7"/>
        <item x="14"/>
        <item x="8"/>
        <item x="6"/>
        <item x="13"/>
        <item x="4"/>
        <item x="12"/>
        <item x="1"/>
        <item x="2"/>
        <item x="10"/>
        <item x="0"/>
        <item x="15"/>
        <item x="17"/>
        <item x="5"/>
        <item x="9"/>
        <item x="18"/>
        <item x="19"/>
        <item h="1" x="2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Existencia" fld="4" baseField="0" baseItem="0"/>
  </dataFields>
  <formats count="1">
    <format dxfId="9">
      <pivotArea type="all" dataOnly="0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21:C24" firstHeaderRow="1" firstDataRow="1" firstDataCol="1"/>
  <pivotFields count="8">
    <pivotField showAll="0"/>
    <pivotField axis="axisRow" showAll="0">
      <items count="15">
        <item h="1" x="8"/>
        <item h="1" x="1"/>
        <item h="1" x="2"/>
        <item h="1" x="7"/>
        <item h="1" x="12"/>
        <item h="1" x="13"/>
        <item h="1" x="5"/>
        <item x="11"/>
        <item x="10"/>
        <item h="1" x="4"/>
        <item h="1" x="3"/>
        <item h="1" x="9"/>
        <item h="1" x="6"/>
        <item h="1" x="0"/>
        <item t="default"/>
      </items>
    </pivotField>
    <pivotField showAll="0"/>
    <pivotField showAll="0"/>
    <pivotField showAll="0"/>
    <pivotField dataField="1" showAll="0"/>
    <pivotField numFmtId="44" showAll="0"/>
    <pivotField numFmtId="44" showAll="0"/>
  </pivotFields>
  <rowFields count="1">
    <field x="1"/>
  </rowFields>
  <rowItems count="3">
    <i>
      <x v="7"/>
    </i>
    <i>
      <x v="8"/>
    </i>
    <i t="grand">
      <x/>
    </i>
  </rowItems>
  <colItems count="1">
    <i/>
  </colItems>
  <dataFields count="1">
    <dataField name="Suma de No. De Ventas" fld="5" showDataAs="percentOfTotal" baseField="1" baseItem="0" numFmtId="10"/>
  </dataFields>
  <formats count="9">
    <format dxfId="8">
      <pivotArea collapsedLevelsAreSubtotals="1" fieldPosition="0">
        <references count="1">
          <reference field="1" count="0"/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24"/>
  <sheetViews>
    <sheetView zoomScale="89" zoomScaleNormal="89" workbookViewId="0">
      <selection activeCell="O8" sqref="O8"/>
    </sheetView>
  </sheetViews>
  <sheetFormatPr baseColWidth="10" defaultColWidth="11.44140625" defaultRowHeight="14.4" x14ac:dyDescent="0.3"/>
  <cols>
    <col min="2" max="2" width="19" bestFit="1" customWidth="1"/>
    <col min="3" max="3" width="24.6640625" bestFit="1" customWidth="1"/>
    <col min="5" max="5" width="13.44140625" customWidth="1"/>
    <col min="6" max="6" width="16.44140625" bestFit="1" customWidth="1"/>
    <col min="7" max="7" width="13.5546875" bestFit="1" customWidth="1"/>
    <col min="8" max="8" width="16.6640625" style="10" bestFit="1" customWidth="1"/>
    <col min="9" max="9" width="15.44140625" style="10" bestFit="1" customWidth="1"/>
    <col min="11" max="11" width="21.6640625" customWidth="1"/>
    <col min="12" max="12" width="25" bestFit="1" customWidth="1"/>
  </cols>
  <sheetData>
    <row r="3" spans="2:12" ht="15" x14ac:dyDescent="0.25">
      <c r="I3" s="8"/>
    </row>
    <row r="4" spans="2:12" ht="15" x14ac:dyDescent="0.25">
      <c r="B4" s="60" t="s">
        <v>8</v>
      </c>
      <c r="C4" s="61"/>
      <c r="D4" s="61"/>
      <c r="E4" s="61"/>
      <c r="F4" s="61"/>
      <c r="G4" s="61"/>
      <c r="H4" s="61"/>
      <c r="I4" s="61"/>
      <c r="J4" s="61"/>
      <c r="K4" s="49"/>
      <c r="L4" s="49"/>
    </row>
    <row r="5" spans="2:12" ht="15" x14ac:dyDescent="0.25">
      <c r="B5" s="4" t="s">
        <v>1</v>
      </c>
      <c r="C5" s="4" t="s">
        <v>0</v>
      </c>
      <c r="D5" s="5" t="s">
        <v>9</v>
      </c>
      <c r="E5" s="4" t="s">
        <v>3</v>
      </c>
      <c r="F5" s="4" t="s">
        <v>2</v>
      </c>
      <c r="G5" s="4" t="s">
        <v>5</v>
      </c>
      <c r="H5" s="11" t="s">
        <v>6</v>
      </c>
      <c r="I5" s="9" t="s">
        <v>4</v>
      </c>
      <c r="J5" s="30" t="s">
        <v>77</v>
      </c>
      <c r="K5" s="30" t="s">
        <v>95</v>
      </c>
      <c r="L5" s="30" t="s">
        <v>96</v>
      </c>
    </row>
    <row r="6" spans="2:12" ht="15" x14ac:dyDescent="0.25">
      <c r="B6" s="3">
        <v>19081001</v>
      </c>
      <c r="C6" s="3" t="s">
        <v>10</v>
      </c>
      <c r="D6" s="3" t="s">
        <v>11</v>
      </c>
      <c r="E6" s="3" t="s">
        <v>17</v>
      </c>
      <c r="F6" s="2">
        <v>6</v>
      </c>
      <c r="G6" s="2">
        <v>39</v>
      </c>
      <c r="H6" s="6">
        <v>10</v>
      </c>
      <c r="I6" s="7">
        <v>15</v>
      </c>
      <c r="J6" s="28">
        <f>G6*I6</f>
        <v>585</v>
      </c>
      <c r="K6" s="28">
        <f>I6-H6</f>
        <v>5</v>
      </c>
      <c r="L6" s="34">
        <f>K6*G6</f>
        <v>195</v>
      </c>
    </row>
    <row r="7" spans="2:12" ht="15" x14ac:dyDescent="0.25">
      <c r="B7" s="3">
        <v>19081002</v>
      </c>
      <c r="C7" s="3" t="s">
        <v>10</v>
      </c>
      <c r="D7" s="3" t="s">
        <v>12</v>
      </c>
      <c r="E7" s="3" t="s">
        <v>17</v>
      </c>
      <c r="F7" s="2">
        <v>7</v>
      </c>
      <c r="G7" s="2">
        <v>47</v>
      </c>
      <c r="H7" s="6">
        <v>10</v>
      </c>
      <c r="I7" s="7">
        <v>15</v>
      </c>
      <c r="J7" s="28">
        <f t="shared" ref="J7:J38" si="0">I7*G7</f>
        <v>705</v>
      </c>
      <c r="K7" s="28">
        <f t="shared" ref="K7:K70" si="1">I7-H7</f>
        <v>5</v>
      </c>
      <c r="L7" s="34">
        <f t="shared" ref="L7:L70" si="2">K7*G7</f>
        <v>235</v>
      </c>
    </row>
    <row r="8" spans="2:12" ht="15" x14ac:dyDescent="0.25">
      <c r="B8" s="3">
        <v>19081003</v>
      </c>
      <c r="C8" s="3" t="s">
        <v>10</v>
      </c>
      <c r="D8" s="3" t="s">
        <v>13</v>
      </c>
      <c r="E8" s="3" t="s">
        <v>17</v>
      </c>
      <c r="F8" s="2">
        <v>25</v>
      </c>
      <c r="G8" s="2">
        <v>57</v>
      </c>
      <c r="H8" s="6">
        <v>10</v>
      </c>
      <c r="I8" s="7">
        <v>15</v>
      </c>
      <c r="J8" s="28">
        <f t="shared" si="0"/>
        <v>855</v>
      </c>
      <c r="K8" s="28">
        <f t="shared" si="1"/>
        <v>5</v>
      </c>
      <c r="L8" s="34">
        <f t="shared" si="2"/>
        <v>285</v>
      </c>
    </row>
    <row r="9" spans="2:12" ht="15" x14ac:dyDescent="0.25">
      <c r="B9" s="3">
        <v>19081004</v>
      </c>
      <c r="C9" s="3" t="s">
        <v>10</v>
      </c>
      <c r="D9" s="3" t="s">
        <v>14</v>
      </c>
      <c r="E9" s="3" t="s">
        <v>17</v>
      </c>
      <c r="F9" s="2">
        <v>24</v>
      </c>
      <c r="G9" s="2">
        <v>32</v>
      </c>
      <c r="H9" s="6">
        <v>10</v>
      </c>
      <c r="I9" s="7">
        <v>15</v>
      </c>
      <c r="J9" s="28">
        <f t="shared" si="0"/>
        <v>480</v>
      </c>
      <c r="K9" s="28">
        <f t="shared" si="1"/>
        <v>5</v>
      </c>
      <c r="L9" s="34">
        <f t="shared" si="2"/>
        <v>160</v>
      </c>
    </row>
    <row r="10" spans="2:12" ht="15" x14ac:dyDescent="0.25">
      <c r="B10" s="3">
        <v>19081005</v>
      </c>
      <c r="C10" s="3" t="s">
        <v>10</v>
      </c>
      <c r="D10" s="3" t="s">
        <v>15</v>
      </c>
      <c r="E10" s="3" t="s">
        <v>18</v>
      </c>
      <c r="F10" s="2">
        <v>11</v>
      </c>
      <c r="G10" s="2">
        <v>36</v>
      </c>
      <c r="H10" s="6">
        <v>13</v>
      </c>
      <c r="I10" s="7">
        <v>18</v>
      </c>
      <c r="J10" s="28">
        <f t="shared" si="0"/>
        <v>648</v>
      </c>
      <c r="K10" s="28">
        <f t="shared" si="1"/>
        <v>5</v>
      </c>
      <c r="L10" s="34">
        <f t="shared" si="2"/>
        <v>180</v>
      </c>
    </row>
    <row r="11" spans="2:12" ht="15" x14ac:dyDescent="0.25">
      <c r="B11" s="3">
        <v>19081006</v>
      </c>
      <c r="C11" s="3" t="s">
        <v>10</v>
      </c>
      <c r="D11" s="3" t="s">
        <v>16</v>
      </c>
      <c r="E11" s="3" t="s">
        <v>18</v>
      </c>
      <c r="F11" s="2">
        <v>19</v>
      </c>
      <c r="G11" s="2">
        <v>19</v>
      </c>
      <c r="H11" s="6">
        <v>13</v>
      </c>
      <c r="I11" s="7">
        <v>18</v>
      </c>
      <c r="J11" s="28">
        <f t="shared" si="0"/>
        <v>342</v>
      </c>
      <c r="K11" s="28">
        <f t="shared" si="1"/>
        <v>5</v>
      </c>
      <c r="L11" s="34">
        <f t="shared" si="2"/>
        <v>95</v>
      </c>
    </row>
    <row r="12" spans="2:12" ht="15" x14ac:dyDescent="0.25">
      <c r="B12" s="3">
        <v>19081007</v>
      </c>
      <c r="C12" s="3" t="s">
        <v>10</v>
      </c>
      <c r="D12" s="3" t="s">
        <v>11</v>
      </c>
      <c r="E12" s="3" t="s">
        <v>18</v>
      </c>
      <c r="F12" s="2">
        <v>21</v>
      </c>
      <c r="G12" s="2">
        <v>70</v>
      </c>
      <c r="H12" s="6">
        <v>13</v>
      </c>
      <c r="I12" s="7">
        <v>18</v>
      </c>
      <c r="J12" s="28">
        <f t="shared" si="0"/>
        <v>1260</v>
      </c>
      <c r="K12" s="28">
        <f t="shared" si="1"/>
        <v>5</v>
      </c>
      <c r="L12" s="34">
        <f t="shared" si="2"/>
        <v>350</v>
      </c>
    </row>
    <row r="13" spans="2:12" ht="15" x14ac:dyDescent="0.25">
      <c r="B13" s="3">
        <v>19081008</v>
      </c>
      <c r="C13" s="3" t="s">
        <v>10</v>
      </c>
      <c r="D13" s="3" t="s">
        <v>12</v>
      </c>
      <c r="E13" s="3" t="s">
        <v>18</v>
      </c>
      <c r="F13" s="2">
        <v>18</v>
      </c>
      <c r="G13" s="2">
        <v>28</v>
      </c>
      <c r="H13" s="6">
        <v>13</v>
      </c>
      <c r="I13" s="7">
        <v>18</v>
      </c>
      <c r="J13" s="28">
        <f t="shared" si="0"/>
        <v>504</v>
      </c>
      <c r="K13" s="28">
        <f t="shared" si="1"/>
        <v>5</v>
      </c>
      <c r="L13" s="34">
        <f t="shared" si="2"/>
        <v>140</v>
      </c>
    </row>
    <row r="14" spans="2:12" ht="15" x14ac:dyDescent="0.25">
      <c r="B14" s="3">
        <v>19081009</v>
      </c>
      <c r="C14" s="3" t="s">
        <v>10</v>
      </c>
      <c r="D14" s="3" t="s">
        <v>13</v>
      </c>
      <c r="E14" s="3" t="s">
        <v>18</v>
      </c>
      <c r="F14" s="2">
        <v>28</v>
      </c>
      <c r="G14" s="2">
        <v>56</v>
      </c>
      <c r="H14" s="6">
        <v>13</v>
      </c>
      <c r="I14" s="7">
        <v>18</v>
      </c>
      <c r="J14" s="28">
        <f t="shared" si="0"/>
        <v>1008</v>
      </c>
      <c r="K14" s="28">
        <f t="shared" si="1"/>
        <v>5</v>
      </c>
      <c r="L14" s="34">
        <f t="shared" si="2"/>
        <v>280</v>
      </c>
    </row>
    <row r="15" spans="2:12" ht="15" x14ac:dyDescent="0.25">
      <c r="B15" s="3">
        <v>19081010</v>
      </c>
      <c r="C15" s="3" t="s">
        <v>10</v>
      </c>
      <c r="D15" s="3" t="s">
        <v>11</v>
      </c>
      <c r="E15" s="3" t="s">
        <v>21</v>
      </c>
      <c r="F15" s="2">
        <v>12</v>
      </c>
      <c r="G15" s="2">
        <v>54</v>
      </c>
      <c r="H15" s="6">
        <v>9</v>
      </c>
      <c r="I15" s="7">
        <v>14</v>
      </c>
      <c r="J15" s="28">
        <f t="shared" si="0"/>
        <v>756</v>
      </c>
      <c r="K15" s="28">
        <f t="shared" si="1"/>
        <v>5</v>
      </c>
      <c r="L15" s="34">
        <f t="shared" si="2"/>
        <v>270</v>
      </c>
    </row>
    <row r="16" spans="2:12" ht="15" x14ac:dyDescent="0.25">
      <c r="B16" s="3">
        <v>19081011</v>
      </c>
      <c r="C16" s="3" t="s">
        <v>10</v>
      </c>
      <c r="D16" s="3" t="s">
        <v>19</v>
      </c>
      <c r="E16" s="3" t="s">
        <v>21</v>
      </c>
      <c r="F16" s="2">
        <v>21</v>
      </c>
      <c r="G16" s="2">
        <v>69</v>
      </c>
      <c r="H16" s="6">
        <v>9</v>
      </c>
      <c r="I16" s="7">
        <v>14</v>
      </c>
      <c r="J16" s="28">
        <f t="shared" si="0"/>
        <v>966</v>
      </c>
      <c r="K16" s="28">
        <f t="shared" si="1"/>
        <v>5</v>
      </c>
      <c r="L16" s="34">
        <f t="shared" si="2"/>
        <v>345</v>
      </c>
    </row>
    <row r="17" spans="2:12" ht="15" x14ac:dyDescent="0.25">
      <c r="B17" s="3">
        <v>19081012</v>
      </c>
      <c r="C17" s="3" t="s">
        <v>10</v>
      </c>
      <c r="D17" s="3" t="s">
        <v>20</v>
      </c>
      <c r="E17" s="3" t="s">
        <v>21</v>
      </c>
      <c r="F17" s="2">
        <v>10</v>
      </c>
      <c r="G17" s="2">
        <v>21</v>
      </c>
      <c r="H17" s="6">
        <v>9</v>
      </c>
      <c r="I17" s="7">
        <v>14</v>
      </c>
      <c r="J17" s="28">
        <f t="shared" si="0"/>
        <v>294</v>
      </c>
      <c r="K17" s="28">
        <f t="shared" si="1"/>
        <v>5</v>
      </c>
      <c r="L17" s="34">
        <f t="shared" si="2"/>
        <v>105</v>
      </c>
    </row>
    <row r="18" spans="2:12" ht="15" x14ac:dyDescent="0.25">
      <c r="B18" s="3">
        <v>19081013</v>
      </c>
      <c r="C18" s="3" t="s">
        <v>10</v>
      </c>
      <c r="D18" s="3" t="s">
        <v>12</v>
      </c>
      <c r="E18" s="3" t="s">
        <v>21</v>
      </c>
      <c r="F18" s="2">
        <v>6</v>
      </c>
      <c r="G18" s="2">
        <v>42</v>
      </c>
      <c r="H18" s="6">
        <v>9</v>
      </c>
      <c r="I18" s="7">
        <v>14</v>
      </c>
      <c r="J18" s="28">
        <f t="shared" si="0"/>
        <v>588</v>
      </c>
      <c r="K18" s="28">
        <f t="shared" si="1"/>
        <v>5</v>
      </c>
      <c r="L18" s="34">
        <f t="shared" si="2"/>
        <v>210</v>
      </c>
    </row>
    <row r="19" spans="2:12" ht="15" x14ac:dyDescent="0.25">
      <c r="B19" s="3">
        <v>19081014</v>
      </c>
      <c r="C19" s="3" t="s">
        <v>22</v>
      </c>
      <c r="D19" s="3" t="s">
        <v>24</v>
      </c>
      <c r="E19" s="3" t="s">
        <v>115</v>
      </c>
      <c r="F19" s="2">
        <v>12</v>
      </c>
      <c r="G19" s="2">
        <v>52</v>
      </c>
      <c r="H19" s="6">
        <v>2</v>
      </c>
      <c r="I19" s="7">
        <v>6</v>
      </c>
      <c r="J19" s="28">
        <f t="shared" si="0"/>
        <v>312</v>
      </c>
      <c r="K19" s="28">
        <f t="shared" si="1"/>
        <v>4</v>
      </c>
      <c r="L19" s="34">
        <f t="shared" si="2"/>
        <v>208</v>
      </c>
    </row>
    <row r="20" spans="2:12" ht="15" x14ac:dyDescent="0.25">
      <c r="B20" s="3">
        <v>19081015</v>
      </c>
      <c r="C20" s="3" t="s">
        <v>22</v>
      </c>
      <c r="D20" s="3" t="s">
        <v>24</v>
      </c>
      <c r="E20" s="3" t="s">
        <v>17</v>
      </c>
      <c r="F20" s="2">
        <v>8</v>
      </c>
      <c r="G20" s="2">
        <v>47</v>
      </c>
      <c r="H20" s="6">
        <v>3</v>
      </c>
      <c r="I20" s="7">
        <v>8</v>
      </c>
      <c r="J20" s="28">
        <f t="shared" si="0"/>
        <v>376</v>
      </c>
      <c r="K20" s="28">
        <f t="shared" si="1"/>
        <v>5</v>
      </c>
      <c r="L20" s="34">
        <f t="shared" si="2"/>
        <v>235</v>
      </c>
    </row>
    <row r="21" spans="2:12" ht="15" x14ac:dyDescent="0.25">
      <c r="B21" s="3">
        <v>19081016</v>
      </c>
      <c r="C21" s="3" t="s">
        <v>22</v>
      </c>
      <c r="D21" s="3" t="s">
        <v>24</v>
      </c>
      <c r="E21" s="3" t="s">
        <v>27</v>
      </c>
      <c r="F21" s="2">
        <v>11</v>
      </c>
      <c r="G21" s="2">
        <v>13</v>
      </c>
      <c r="H21" s="6">
        <v>15</v>
      </c>
      <c r="I21" s="7">
        <v>25</v>
      </c>
      <c r="J21" s="28">
        <f t="shared" si="0"/>
        <v>325</v>
      </c>
      <c r="K21" s="28">
        <f t="shared" si="1"/>
        <v>10</v>
      </c>
      <c r="L21" s="34">
        <f t="shared" si="2"/>
        <v>130</v>
      </c>
    </row>
    <row r="22" spans="2:12" ht="15" x14ac:dyDescent="0.25">
      <c r="B22" s="3">
        <v>19081017</v>
      </c>
      <c r="C22" s="3" t="s">
        <v>22</v>
      </c>
      <c r="D22" s="3" t="s">
        <v>24</v>
      </c>
      <c r="E22" s="3" t="s">
        <v>26</v>
      </c>
      <c r="F22" s="2">
        <v>9</v>
      </c>
      <c r="G22" s="2">
        <v>56</v>
      </c>
      <c r="H22" s="6">
        <v>20</v>
      </c>
      <c r="I22" s="7">
        <v>30</v>
      </c>
      <c r="J22" s="28">
        <f t="shared" si="0"/>
        <v>1680</v>
      </c>
      <c r="K22" s="28">
        <f t="shared" si="1"/>
        <v>10</v>
      </c>
      <c r="L22" s="34">
        <f t="shared" si="2"/>
        <v>560</v>
      </c>
    </row>
    <row r="23" spans="2:12" ht="15" x14ac:dyDescent="0.25">
      <c r="B23" s="3">
        <v>19081018</v>
      </c>
      <c r="C23" s="3" t="s">
        <v>23</v>
      </c>
      <c r="D23" s="3" t="s">
        <v>25</v>
      </c>
      <c r="E23" s="3" t="s">
        <v>17</v>
      </c>
      <c r="F23" s="2">
        <v>18</v>
      </c>
      <c r="G23" s="2">
        <v>11</v>
      </c>
      <c r="H23" s="6">
        <v>5</v>
      </c>
      <c r="I23" s="7">
        <v>9</v>
      </c>
      <c r="J23" s="28">
        <f t="shared" si="0"/>
        <v>99</v>
      </c>
      <c r="K23" s="28">
        <f t="shared" si="1"/>
        <v>4</v>
      </c>
      <c r="L23" s="34">
        <f t="shared" si="2"/>
        <v>44</v>
      </c>
    </row>
    <row r="24" spans="2:12" ht="15" x14ac:dyDescent="0.25">
      <c r="B24" s="3">
        <v>19081019</v>
      </c>
      <c r="C24" s="3" t="s">
        <v>23</v>
      </c>
      <c r="D24" s="3" t="s">
        <v>25</v>
      </c>
      <c r="E24" s="3" t="s">
        <v>26</v>
      </c>
      <c r="F24" s="2">
        <v>22</v>
      </c>
      <c r="G24" s="2">
        <v>22</v>
      </c>
      <c r="H24" s="6">
        <v>40</v>
      </c>
      <c r="I24" s="7">
        <v>60</v>
      </c>
      <c r="J24" s="28">
        <f t="shared" si="0"/>
        <v>1320</v>
      </c>
      <c r="K24" s="28">
        <f t="shared" si="1"/>
        <v>20</v>
      </c>
      <c r="L24" s="34">
        <f t="shared" si="2"/>
        <v>440</v>
      </c>
    </row>
    <row r="25" spans="2:12" ht="15" x14ac:dyDescent="0.25">
      <c r="B25" s="3">
        <v>19081020</v>
      </c>
      <c r="C25" s="3" t="s">
        <v>23</v>
      </c>
      <c r="D25" s="3" t="s">
        <v>25</v>
      </c>
      <c r="E25" s="3" t="s">
        <v>27</v>
      </c>
      <c r="F25" s="2">
        <v>14</v>
      </c>
      <c r="G25" s="2">
        <v>62</v>
      </c>
      <c r="H25" s="6">
        <v>30</v>
      </c>
      <c r="I25" s="7">
        <v>50</v>
      </c>
      <c r="J25" s="28">
        <f t="shared" si="0"/>
        <v>3100</v>
      </c>
      <c r="K25" s="28">
        <f t="shared" si="1"/>
        <v>20</v>
      </c>
      <c r="L25" s="34">
        <f t="shared" si="2"/>
        <v>1240</v>
      </c>
    </row>
    <row r="26" spans="2:12" ht="15" x14ac:dyDescent="0.25">
      <c r="B26" s="3">
        <v>19081021</v>
      </c>
      <c r="C26" s="3" t="s">
        <v>28</v>
      </c>
      <c r="D26" s="3" t="s">
        <v>24</v>
      </c>
      <c r="E26" s="3" t="s">
        <v>30</v>
      </c>
      <c r="F26" s="2">
        <v>10</v>
      </c>
      <c r="G26" s="2">
        <v>12</v>
      </c>
      <c r="H26" s="6">
        <v>25</v>
      </c>
      <c r="I26" s="7">
        <v>35</v>
      </c>
      <c r="J26" s="28">
        <f t="shared" si="0"/>
        <v>420</v>
      </c>
      <c r="K26" s="28">
        <f t="shared" si="1"/>
        <v>10</v>
      </c>
      <c r="L26" s="34">
        <f t="shared" si="2"/>
        <v>120</v>
      </c>
    </row>
    <row r="27" spans="2:12" ht="15" x14ac:dyDescent="0.25">
      <c r="B27" s="3">
        <v>19081022</v>
      </c>
      <c r="C27" s="3" t="s">
        <v>28</v>
      </c>
      <c r="D27" s="3" t="s">
        <v>24</v>
      </c>
      <c r="E27" s="3" t="s">
        <v>31</v>
      </c>
      <c r="F27" s="2">
        <v>13</v>
      </c>
      <c r="G27" s="2">
        <v>47</v>
      </c>
      <c r="H27" s="6">
        <v>30</v>
      </c>
      <c r="I27" s="7">
        <v>40</v>
      </c>
      <c r="J27" s="28">
        <f t="shared" si="0"/>
        <v>1880</v>
      </c>
      <c r="K27" s="28">
        <f t="shared" si="1"/>
        <v>10</v>
      </c>
      <c r="L27" s="34">
        <f t="shared" si="2"/>
        <v>470</v>
      </c>
    </row>
    <row r="28" spans="2:12" ht="15" x14ac:dyDescent="0.25">
      <c r="B28" s="3">
        <v>19081023</v>
      </c>
      <c r="C28" s="3" t="s">
        <v>28</v>
      </c>
      <c r="D28" s="3" t="s">
        <v>24</v>
      </c>
      <c r="E28" s="3" t="s">
        <v>32</v>
      </c>
      <c r="F28" s="2">
        <v>5</v>
      </c>
      <c r="G28" s="2">
        <v>36</v>
      </c>
      <c r="H28" s="6">
        <v>30</v>
      </c>
      <c r="I28" s="7">
        <v>35</v>
      </c>
      <c r="J28" s="28">
        <f t="shared" si="0"/>
        <v>1260</v>
      </c>
      <c r="K28" s="28">
        <f t="shared" si="1"/>
        <v>5</v>
      </c>
      <c r="L28" s="34">
        <f t="shared" si="2"/>
        <v>180</v>
      </c>
    </row>
    <row r="29" spans="2:12" ht="15" x14ac:dyDescent="0.25">
      <c r="B29" s="3">
        <v>19081024</v>
      </c>
      <c r="C29" s="3" t="s">
        <v>28</v>
      </c>
      <c r="D29" s="3" t="s">
        <v>24</v>
      </c>
      <c r="E29" s="3" t="s">
        <v>33</v>
      </c>
      <c r="F29" s="2">
        <v>22</v>
      </c>
      <c r="G29" s="2">
        <v>69</v>
      </c>
      <c r="H29" s="6">
        <v>35</v>
      </c>
      <c r="I29" s="7">
        <v>40</v>
      </c>
      <c r="J29" s="28">
        <f t="shared" si="0"/>
        <v>2760</v>
      </c>
      <c r="K29" s="28">
        <f t="shared" si="1"/>
        <v>5</v>
      </c>
      <c r="L29" s="34">
        <f t="shared" si="2"/>
        <v>345</v>
      </c>
    </row>
    <row r="30" spans="2:12" ht="15" x14ac:dyDescent="0.25">
      <c r="B30" s="3">
        <v>19081025</v>
      </c>
      <c r="C30" s="3" t="s">
        <v>29</v>
      </c>
      <c r="D30" s="3" t="s">
        <v>24</v>
      </c>
      <c r="E30" s="3" t="s">
        <v>30</v>
      </c>
      <c r="F30" s="2">
        <v>19</v>
      </c>
      <c r="G30" s="2">
        <v>51</v>
      </c>
      <c r="H30" s="6">
        <v>15</v>
      </c>
      <c r="I30" s="7">
        <v>25</v>
      </c>
      <c r="J30" s="28">
        <f t="shared" si="0"/>
        <v>1275</v>
      </c>
      <c r="K30" s="28">
        <f t="shared" si="1"/>
        <v>10</v>
      </c>
      <c r="L30" s="34">
        <f t="shared" si="2"/>
        <v>510</v>
      </c>
    </row>
    <row r="31" spans="2:12" ht="15" x14ac:dyDescent="0.25">
      <c r="B31" s="3">
        <v>19081026</v>
      </c>
      <c r="C31" s="3" t="s">
        <v>29</v>
      </c>
      <c r="D31" s="3" t="s">
        <v>24</v>
      </c>
      <c r="E31" s="3" t="s">
        <v>31</v>
      </c>
      <c r="F31" s="2">
        <v>27</v>
      </c>
      <c r="G31" s="2">
        <v>32</v>
      </c>
      <c r="H31" s="6">
        <v>8</v>
      </c>
      <c r="I31" s="7">
        <v>15</v>
      </c>
      <c r="J31" s="28">
        <f t="shared" si="0"/>
        <v>480</v>
      </c>
      <c r="K31" s="28">
        <f t="shared" si="1"/>
        <v>7</v>
      </c>
      <c r="L31" s="34">
        <f t="shared" si="2"/>
        <v>224</v>
      </c>
    </row>
    <row r="32" spans="2:12" ht="15" x14ac:dyDescent="0.25">
      <c r="B32" s="3">
        <v>19081027</v>
      </c>
      <c r="C32" s="3" t="s">
        <v>29</v>
      </c>
      <c r="D32" s="3" t="s">
        <v>24</v>
      </c>
      <c r="E32" s="3" t="s">
        <v>32</v>
      </c>
      <c r="F32" s="2">
        <v>16</v>
      </c>
      <c r="G32" s="2">
        <v>64</v>
      </c>
      <c r="H32" s="6">
        <v>10</v>
      </c>
      <c r="I32" s="7">
        <v>17</v>
      </c>
      <c r="J32" s="28">
        <f t="shared" si="0"/>
        <v>1088</v>
      </c>
      <c r="K32" s="28">
        <f t="shared" si="1"/>
        <v>7</v>
      </c>
      <c r="L32" s="34">
        <f t="shared" si="2"/>
        <v>448</v>
      </c>
    </row>
    <row r="33" spans="2:12" ht="15" x14ac:dyDescent="0.25">
      <c r="B33" s="3">
        <v>19081028</v>
      </c>
      <c r="C33" s="3" t="s">
        <v>29</v>
      </c>
      <c r="D33" s="3" t="s">
        <v>24</v>
      </c>
      <c r="E33" s="3" t="s">
        <v>33</v>
      </c>
      <c r="F33" s="2">
        <v>14</v>
      </c>
      <c r="G33" s="2">
        <v>68</v>
      </c>
      <c r="H33" s="6">
        <v>13</v>
      </c>
      <c r="I33" s="7">
        <v>20</v>
      </c>
      <c r="J33" s="28">
        <f t="shared" si="0"/>
        <v>1360</v>
      </c>
      <c r="K33" s="28">
        <f t="shared" si="1"/>
        <v>7</v>
      </c>
      <c r="L33" s="34">
        <f t="shared" si="2"/>
        <v>476</v>
      </c>
    </row>
    <row r="34" spans="2:12" x14ac:dyDescent="0.3">
      <c r="B34" s="3">
        <v>19081029</v>
      </c>
      <c r="C34" s="3" t="s">
        <v>34</v>
      </c>
      <c r="D34" s="3" t="s">
        <v>16</v>
      </c>
      <c r="E34" s="3" t="s">
        <v>32</v>
      </c>
      <c r="F34" s="2">
        <v>20</v>
      </c>
      <c r="G34" s="2">
        <v>23</v>
      </c>
      <c r="H34" s="6">
        <v>3</v>
      </c>
      <c r="I34" s="7">
        <v>5</v>
      </c>
      <c r="J34" s="28">
        <f t="shared" si="0"/>
        <v>115</v>
      </c>
      <c r="K34" s="28">
        <f t="shared" si="1"/>
        <v>2</v>
      </c>
      <c r="L34" s="34">
        <f t="shared" si="2"/>
        <v>46</v>
      </c>
    </row>
    <row r="35" spans="2:12" x14ac:dyDescent="0.3">
      <c r="B35" s="3">
        <v>19081030</v>
      </c>
      <c r="C35" s="3" t="s">
        <v>34</v>
      </c>
      <c r="D35" s="3" t="s">
        <v>16</v>
      </c>
      <c r="E35" s="3" t="s">
        <v>36</v>
      </c>
      <c r="F35" s="2">
        <v>19</v>
      </c>
      <c r="G35" s="2">
        <v>12</v>
      </c>
      <c r="H35" s="6">
        <v>5</v>
      </c>
      <c r="I35" s="7">
        <v>7</v>
      </c>
      <c r="J35" s="28">
        <f t="shared" si="0"/>
        <v>84</v>
      </c>
      <c r="K35" s="28">
        <f t="shared" si="1"/>
        <v>2</v>
      </c>
      <c r="L35" s="34">
        <f t="shared" si="2"/>
        <v>24</v>
      </c>
    </row>
    <row r="36" spans="2:12" x14ac:dyDescent="0.3">
      <c r="B36" s="3">
        <v>19081031</v>
      </c>
      <c r="C36" s="3" t="s">
        <v>34</v>
      </c>
      <c r="D36" s="3" t="s">
        <v>16</v>
      </c>
      <c r="E36" s="3" t="s">
        <v>17</v>
      </c>
      <c r="F36" s="2">
        <v>16</v>
      </c>
      <c r="G36" s="2">
        <v>67</v>
      </c>
      <c r="H36" s="6">
        <v>4</v>
      </c>
      <c r="I36" s="7">
        <v>7</v>
      </c>
      <c r="J36" s="28">
        <f t="shared" si="0"/>
        <v>469</v>
      </c>
      <c r="K36" s="28">
        <f t="shared" si="1"/>
        <v>3</v>
      </c>
      <c r="L36" s="34">
        <f t="shared" si="2"/>
        <v>201</v>
      </c>
    </row>
    <row r="37" spans="2:12" x14ac:dyDescent="0.3">
      <c r="B37" s="3">
        <v>19081032</v>
      </c>
      <c r="C37" s="3" t="s">
        <v>34</v>
      </c>
      <c r="D37" s="3" t="s">
        <v>13</v>
      </c>
      <c r="E37" s="3" t="s">
        <v>37</v>
      </c>
      <c r="F37" s="2">
        <v>16</v>
      </c>
      <c r="G37" s="2">
        <v>68</v>
      </c>
      <c r="H37" s="6">
        <v>5</v>
      </c>
      <c r="I37" s="7">
        <v>7</v>
      </c>
      <c r="J37" s="28">
        <f t="shared" si="0"/>
        <v>476</v>
      </c>
      <c r="K37" s="28">
        <f t="shared" si="1"/>
        <v>2</v>
      </c>
      <c r="L37" s="34">
        <f t="shared" si="2"/>
        <v>136</v>
      </c>
    </row>
    <row r="38" spans="2:12" x14ac:dyDescent="0.3">
      <c r="B38" s="3">
        <v>19081033</v>
      </c>
      <c r="C38" s="3" t="s">
        <v>34</v>
      </c>
      <c r="D38" s="3" t="s">
        <v>15</v>
      </c>
      <c r="E38" s="3" t="s">
        <v>18</v>
      </c>
      <c r="F38" s="2">
        <v>8</v>
      </c>
      <c r="G38" s="2">
        <v>54</v>
      </c>
      <c r="H38" s="6">
        <v>3</v>
      </c>
      <c r="I38" s="7">
        <v>5</v>
      </c>
      <c r="J38" s="28">
        <f t="shared" si="0"/>
        <v>270</v>
      </c>
      <c r="K38" s="28">
        <f t="shared" si="1"/>
        <v>2</v>
      </c>
      <c r="L38" s="34">
        <f t="shared" si="2"/>
        <v>108</v>
      </c>
    </row>
    <row r="39" spans="2:12" ht="15" x14ac:dyDescent="0.25">
      <c r="B39" s="3">
        <v>19081034</v>
      </c>
      <c r="C39" s="3" t="s">
        <v>39</v>
      </c>
      <c r="D39" s="3" t="s">
        <v>20</v>
      </c>
      <c r="E39" s="3" t="s">
        <v>38</v>
      </c>
      <c r="F39" s="2">
        <v>22</v>
      </c>
      <c r="G39" s="2">
        <v>61</v>
      </c>
      <c r="H39" s="6">
        <v>25</v>
      </c>
      <c r="I39" s="7">
        <v>35</v>
      </c>
      <c r="J39" s="28">
        <f t="shared" ref="J39:J70" si="3">I39*G39</f>
        <v>2135</v>
      </c>
      <c r="K39" s="28">
        <f t="shared" si="1"/>
        <v>10</v>
      </c>
      <c r="L39" s="34">
        <f t="shared" si="2"/>
        <v>610</v>
      </c>
    </row>
    <row r="40" spans="2:12" ht="15" x14ac:dyDescent="0.25">
      <c r="B40" s="3">
        <v>19081035</v>
      </c>
      <c r="C40" s="3" t="s">
        <v>39</v>
      </c>
      <c r="D40" s="3" t="s">
        <v>11</v>
      </c>
      <c r="E40" s="3" t="s">
        <v>38</v>
      </c>
      <c r="F40" s="2">
        <v>27</v>
      </c>
      <c r="G40" s="2">
        <v>45</v>
      </c>
      <c r="H40" s="6">
        <v>25</v>
      </c>
      <c r="I40" s="7">
        <v>35</v>
      </c>
      <c r="J40" s="28">
        <f t="shared" si="3"/>
        <v>1575</v>
      </c>
      <c r="K40" s="28">
        <f t="shared" si="1"/>
        <v>10</v>
      </c>
      <c r="L40" s="34">
        <f t="shared" si="2"/>
        <v>450</v>
      </c>
    </row>
    <row r="41" spans="2:12" ht="15" x14ac:dyDescent="0.25">
      <c r="B41" s="3">
        <v>19081036</v>
      </c>
      <c r="C41" s="3" t="s">
        <v>39</v>
      </c>
      <c r="D41" s="3" t="s">
        <v>12</v>
      </c>
      <c r="E41" s="3" t="s">
        <v>38</v>
      </c>
      <c r="F41" s="2">
        <v>29</v>
      </c>
      <c r="G41" s="2">
        <v>42</v>
      </c>
      <c r="H41" s="6">
        <v>25</v>
      </c>
      <c r="I41" s="7">
        <v>35</v>
      </c>
      <c r="J41" s="28">
        <f t="shared" si="3"/>
        <v>1470</v>
      </c>
      <c r="K41" s="28">
        <f t="shared" si="1"/>
        <v>10</v>
      </c>
      <c r="L41" s="34">
        <f t="shared" si="2"/>
        <v>420</v>
      </c>
    </row>
    <row r="42" spans="2:12" ht="15" x14ac:dyDescent="0.25">
      <c r="B42" s="3">
        <v>19081037</v>
      </c>
      <c r="C42" s="3" t="s">
        <v>39</v>
      </c>
      <c r="D42" s="3" t="s">
        <v>13</v>
      </c>
      <c r="E42" s="3" t="s">
        <v>38</v>
      </c>
      <c r="F42" s="2">
        <v>25</v>
      </c>
      <c r="G42" s="2">
        <v>70</v>
      </c>
      <c r="H42" s="6">
        <v>25</v>
      </c>
      <c r="I42" s="7">
        <v>35</v>
      </c>
      <c r="J42" s="28">
        <f t="shared" si="3"/>
        <v>2450</v>
      </c>
      <c r="K42" s="28">
        <f t="shared" si="1"/>
        <v>10</v>
      </c>
      <c r="L42" s="34">
        <f t="shared" si="2"/>
        <v>700</v>
      </c>
    </row>
    <row r="43" spans="2:12" ht="15" x14ac:dyDescent="0.25">
      <c r="B43" s="3">
        <v>19081038</v>
      </c>
      <c r="C43" s="3" t="s">
        <v>39</v>
      </c>
      <c r="D43" s="3" t="s">
        <v>20</v>
      </c>
      <c r="E43" s="3" t="s">
        <v>40</v>
      </c>
      <c r="F43" s="2">
        <v>26</v>
      </c>
      <c r="G43" s="2">
        <v>16</v>
      </c>
      <c r="H43" s="6">
        <v>20</v>
      </c>
      <c r="I43" s="7">
        <v>30</v>
      </c>
      <c r="J43" s="28">
        <f t="shared" si="3"/>
        <v>480</v>
      </c>
      <c r="K43" s="28">
        <f t="shared" si="1"/>
        <v>10</v>
      </c>
      <c r="L43" s="34">
        <f t="shared" si="2"/>
        <v>160</v>
      </c>
    </row>
    <row r="44" spans="2:12" ht="15" x14ac:dyDescent="0.25">
      <c r="B44" s="3">
        <v>19081039</v>
      </c>
      <c r="C44" s="3" t="s">
        <v>39</v>
      </c>
      <c r="D44" s="3" t="s">
        <v>11</v>
      </c>
      <c r="E44" s="3" t="s">
        <v>40</v>
      </c>
      <c r="F44" s="2">
        <v>5</v>
      </c>
      <c r="G44" s="2">
        <v>22</v>
      </c>
      <c r="H44" s="6">
        <v>20</v>
      </c>
      <c r="I44" s="7">
        <v>30</v>
      </c>
      <c r="J44" s="28">
        <f t="shared" si="3"/>
        <v>660</v>
      </c>
      <c r="K44" s="28">
        <f t="shared" si="1"/>
        <v>10</v>
      </c>
      <c r="L44" s="34">
        <f t="shared" si="2"/>
        <v>220</v>
      </c>
    </row>
    <row r="45" spans="2:12" ht="15" x14ac:dyDescent="0.25">
      <c r="B45" s="3">
        <v>19081040</v>
      </c>
      <c r="C45" s="3" t="s">
        <v>39</v>
      </c>
      <c r="D45" s="3" t="s">
        <v>12</v>
      </c>
      <c r="E45" s="3" t="s">
        <v>40</v>
      </c>
      <c r="F45" s="2">
        <v>12</v>
      </c>
      <c r="G45" s="2">
        <v>24</v>
      </c>
      <c r="H45" s="6">
        <v>20</v>
      </c>
      <c r="I45" s="7">
        <v>30</v>
      </c>
      <c r="J45" s="28">
        <f t="shared" si="3"/>
        <v>720</v>
      </c>
      <c r="K45" s="28">
        <f t="shared" si="1"/>
        <v>10</v>
      </c>
      <c r="L45" s="34">
        <f t="shared" si="2"/>
        <v>240</v>
      </c>
    </row>
    <row r="46" spans="2:12" ht="15" x14ac:dyDescent="0.25">
      <c r="B46" s="3">
        <v>19081041</v>
      </c>
      <c r="C46" s="3" t="s">
        <v>39</v>
      </c>
      <c r="D46" s="3" t="s">
        <v>13</v>
      </c>
      <c r="E46" s="3" t="s">
        <v>40</v>
      </c>
      <c r="F46" s="2">
        <v>22</v>
      </c>
      <c r="G46" s="2">
        <v>68</v>
      </c>
      <c r="H46" s="6">
        <v>20</v>
      </c>
      <c r="I46" s="7">
        <v>30</v>
      </c>
      <c r="J46" s="28">
        <f t="shared" si="3"/>
        <v>2040</v>
      </c>
      <c r="K46" s="28">
        <f t="shared" si="1"/>
        <v>10</v>
      </c>
      <c r="L46" s="34">
        <f t="shared" si="2"/>
        <v>680</v>
      </c>
    </row>
    <row r="47" spans="2:12" ht="15" x14ac:dyDescent="0.25">
      <c r="B47" s="3">
        <v>19081042</v>
      </c>
      <c r="C47" s="3" t="s">
        <v>41</v>
      </c>
      <c r="D47" s="3" t="s">
        <v>35</v>
      </c>
      <c r="E47" s="3" t="s">
        <v>26</v>
      </c>
      <c r="F47" s="2">
        <v>25</v>
      </c>
      <c r="G47" s="2">
        <v>15</v>
      </c>
      <c r="H47" s="6">
        <v>170</v>
      </c>
      <c r="I47" s="7">
        <v>200</v>
      </c>
      <c r="J47" s="28">
        <f t="shared" si="3"/>
        <v>3000</v>
      </c>
      <c r="K47" s="28">
        <f t="shared" si="1"/>
        <v>30</v>
      </c>
      <c r="L47" s="34">
        <f t="shared" si="2"/>
        <v>450</v>
      </c>
    </row>
    <row r="48" spans="2:12" ht="15" x14ac:dyDescent="0.25">
      <c r="B48" s="3">
        <v>19081043</v>
      </c>
      <c r="C48" s="3" t="s">
        <v>41</v>
      </c>
      <c r="D48" s="3" t="s">
        <v>35</v>
      </c>
      <c r="E48" s="3" t="s">
        <v>21</v>
      </c>
      <c r="F48" s="2">
        <v>19</v>
      </c>
      <c r="G48" s="2">
        <v>70</v>
      </c>
      <c r="H48" s="6">
        <v>180</v>
      </c>
      <c r="I48" s="7">
        <v>190</v>
      </c>
      <c r="J48" s="28">
        <f t="shared" si="3"/>
        <v>13300</v>
      </c>
      <c r="K48" s="28">
        <f t="shared" si="1"/>
        <v>10</v>
      </c>
      <c r="L48" s="34">
        <f t="shared" si="2"/>
        <v>700</v>
      </c>
    </row>
    <row r="49" spans="2:12" ht="15" x14ac:dyDescent="0.25">
      <c r="B49" s="3">
        <v>19081044</v>
      </c>
      <c r="C49" s="3" t="s">
        <v>41</v>
      </c>
      <c r="D49" s="3" t="s">
        <v>35</v>
      </c>
      <c r="E49" s="3" t="s">
        <v>36</v>
      </c>
      <c r="F49" s="2">
        <v>5</v>
      </c>
      <c r="G49" s="2">
        <v>30</v>
      </c>
      <c r="H49" s="6">
        <v>150</v>
      </c>
      <c r="I49" s="7">
        <v>165</v>
      </c>
      <c r="J49" s="28">
        <f t="shared" si="3"/>
        <v>4950</v>
      </c>
      <c r="K49" s="28">
        <f t="shared" si="1"/>
        <v>15</v>
      </c>
      <c r="L49" s="34">
        <f t="shared" si="2"/>
        <v>450</v>
      </c>
    </row>
    <row r="50" spans="2:12" ht="15" x14ac:dyDescent="0.25">
      <c r="B50" s="3">
        <v>19081045</v>
      </c>
      <c r="C50" s="3" t="s">
        <v>41</v>
      </c>
      <c r="D50" s="3" t="s">
        <v>35</v>
      </c>
      <c r="E50" s="3" t="s">
        <v>18</v>
      </c>
      <c r="F50" s="2">
        <v>23</v>
      </c>
      <c r="G50" s="2">
        <v>54</v>
      </c>
      <c r="H50" s="6">
        <v>100</v>
      </c>
      <c r="I50" s="7">
        <v>120</v>
      </c>
      <c r="J50" s="28">
        <f t="shared" si="3"/>
        <v>6480</v>
      </c>
      <c r="K50" s="28">
        <f t="shared" si="1"/>
        <v>20</v>
      </c>
      <c r="L50" s="34">
        <f t="shared" si="2"/>
        <v>1080</v>
      </c>
    </row>
    <row r="51" spans="2:12" ht="15" x14ac:dyDescent="0.25">
      <c r="B51" s="3">
        <v>19081046</v>
      </c>
      <c r="C51" s="3" t="s">
        <v>41</v>
      </c>
      <c r="D51" s="3" t="s">
        <v>35</v>
      </c>
      <c r="E51" s="3" t="s">
        <v>32</v>
      </c>
      <c r="F51" s="2">
        <v>13</v>
      </c>
      <c r="G51" s="2">
        <v>59</v>
      </c>
      <c r="H51" s="6">
        <v>60</v>
      </c>
      <c r="I51" s="7">
        <v>70</v>
      </c>
      <c r="J51" s="28">
        <f t="shared" si="3"/>
        <v>4130</v>
      </c>
      <c r="K51" s="28">
        <f t="shared" si="1"/>
        <v>10</v>
      </c>
      <c r="L51" s="34">
        <f t="shared" si="2"/>
        <v>590</v>
      </c>
    </row>
    <row r="52" spans="2:12" ht="15" x14ac:dyDescent="0.25">
      <c r="B52" s="3">
        <v>19081047</v>
      </c>
      <c r="C52" s="3" t="s">
        <v>41</v>
      </c>
      <c r="D52" s="3" t="s">
        <v>35</v>
      </c>
      <c r="E52" s="3" t="s">
        <v>42</v>
      </c>
      <c r="F52" s="2">
        <v>17</v>
      </c>
      <c r="G52" s="2">
        <v>53</v>
      </c>
      <c r="H52" s="6">
        <v>170</v>
      </c>
      <c r="I52" s="7">
        <v>186</v>
      </c>
      <c r="J52" s="28">
        <f t="shared" si="3"/>
        <v>9858</v>
      </c>
      <c r="K52" s="28">
        <f t="shared" si="1"/>
        <v>16</v>
      </c>
      <c r="L52" s="34">
        <f t="shared" si="2"/>
        <v>848</v>
      </c>
    </row>
    <row r="53" spans="2:12" ht="15" x14ac:dyDescent="0.25">
      <c r="B53" s="3">
        <v>19081048</v>
      </c>
      <c r="C53" s="3" t="s">
        <v>41</v>
      </c>
      <c r="D53" s="3" t="s">
        <v>35</v>
      </c>
      <c r="E53" s="3" t="s">
        <v>37</v>
      </c>
      <c r="F53" s="2">
        <v>27</v>
      </c>
      <c r="G53" s="2">
        <v>64</v>
      </c>
      <c r="H53" s="6">
        <v>170</v>
      </c>
      <c r="I53" s="7">
        <v>186</v>
      </c>
      <c r="J53" s="28">
        <f t="shared" si="3"/>
        <v>11904</v>
      </c>
      <c r="K53" s="28">
        <f t="shared" si="1"/>
        <v>16</v>
      </c>
      <c r="L53" s="34">
        <f t="shared" si="2"/>
        <v>1024</v>
      </c>
    </row>
    <row r="54" spans="2:12" ht="15" x14ac:dyDescent="0.25">
      <c r="B54" s="3">
        <v>19081049</v>
      </c>
      <c r="C54" s="3" t="s">
        <v>43</v>
      </c>
      <c r="D54" s="3" t="s">
        <v>20</v>
      </c>
      <c r="E54" s="3" t="s">
        <v>36</v>
      </c>
      <c r="F54" s="2">
        <v>14</v>
      </c>
      <c r="G54" s="2">
        <v>37</v>
      </c>
      <c r="H54" s="6">
        <v>5</v>
      </c>
      <c r="I54" s="7">
        <v>6</v>
      </c>
      <c r="J54" s="28">
        <f t="shared" si="3"/>
        <v>222</v>
      </c>
      <c r="K54" s="28">
        <f t="shared" si="1"/>
        <v>1</v>
      </c>
      <c r="L54" s="34">
        <f t="shared" si="2"/>
        <v>37</v>
      </c>
    </row>
    <row r="55" spans="2:12" ht="15" x14ac:dyDescent="0.25">
      <c r="B55" s="3">
        <v>19081050</v>
      </c>
      <c r="C55" s="3" t="s">
        <v>43</v>
      </c>
      <c r="D55" s="3" t="s">
        <v>11</v>
      </c>
      <c r="E55" s="3" t="s">
        <v>36</v>
      </c>
      <c r="F55" s="2">
        <v>15</v>
      </c>
      <c r="G55" s="2">
        <v>48</v>
      </c>
      <c r="H55" s="6">
        <v>5</v>
      </c>
      <c r="I55" s="7">
        <v>6</v>
      </c>
      <c r="J55" s="28">
        <f t="shared" si="3"/>
        <v>288</v>
      </c>
      <c r="K55" s="28">
        <f t="shared" si="1"/>
        <v>1</v>
      </c>
      <c r="L55" s="34">
        <f t="shared" si="2"/>
        <v>48</v>
      </c>
    </row>
    <row r="56" spans="2:12" ht="15" x14ac:dyDescent="0.25">
      <c r="B56" s="3">
        <v>19081051</v>
      </c>
      <c r="C56" s="3" t="s">
        <v>43</v>
      </c>
      <c r="D56" s="3" t="s">
        <v>12</v>
      </c>
      <c r="E56" s="3" t="s">
        <v>36</v>
      </c>
      <c r="F56" s="2">
        <v>12</v>
      </c>
      <c r="G56" s="2">
        <v>58</v>
      </c>
      <c r="H56" s="6">
        <v>5</v>
      </c>
      <c r="I56" s="7">
        <v>6</v>
      </c>
      <c r="J56" s="28">
        <f t="shared" si="3"/>
        <v>348</v>
      </c>
      <c r="K56" s="28">
        <f t="shared" si="1"/>
        <v>1</v>
      </c>
      <c r="L56" s="34">
        <f t="shared" si="2"/>
        <v>58</v>
      </c>
    </row>
    <row r="57" spans="2:12" ht="15" x14ac:dyDescent="0.25">
      <c r="B57" s="3">
        <v>19081052</v>
      </c>
      <c r="C57" s="3" t="s">
        <v>43</v>
      </c>
      <c r="D57" s="3" t="s">
        <v>20</v>
      </c>
      <c r="E57" s="3" t="s">
        <v>37</v>
      </c>
      <c r="F57" s="2">
        <v>19</v>
      </c>
      <c r="G57" s="2">
        <v>37</v>
      </c>
      <c r="H57" s="6">
        <v>2</v>
      </c>
      <c r="I57" s="7">
        <v>5</v>
      </c>
      <c r="J57" s="28">
        <f t="shared" si="3"/>
        <v>185</v>
      </c>
      <c r="K57" s="28">
        <f t="shared" si="1"/>
        <v>3</v>
      </c>
      <c r="L57" s="34">
        <f t="shared" si="2"/>
        <v>111</v>
      </c>
    </row>
    <row r="58" spans="2:12" ht="15" x14ac:dyDescent="0.25">
      <c r="B58" s="3">
        <v>19081053</v>
      </c>
      <c r="C58" s="3" t="s">
        <v>43</v>
      </c>
      <c r="D58" s="3" t="s">
        <v>11</v>
      </c>
      <c r="E58" s="3" t="s">
        <v>37</v>
      </c>
      <c r="F58" s="2">
        <v>22</v>
      </c>
      <c r="G58" s="2">
        <v>10</v>
      </c>
      <c r="H58" s="6">
        <v>2</v>
      </c>
      <c r="I58" s="7">
        <v>5</v>
      </c>
      <c r="J58" s="28">
        <f t="shared" si="3"/>
        <v>50</v>
      </c>
      <c r="K58" s="28">
        <f t="shared" si="1"/>
        <v>3</v>
      </c>
      <c r="L58" s="34">
        <f t="shared" si="2"/>
        <v>30</v>
      </c>
    </row>
    <row r="59" spans="2:12" ht="15" x14ac:dyDescent="0.25">
      <c r="B59" s="3">
        <v>19081054</v>
      </c>
      <c r="C59" s="3" t="s">
        <v>43</v>
      </c>
      <c r="D59" s="3" t="s">
        <v>12</v>
      </c>
      <c r="E59" s="3" t="s">
        <v>37</v>
      </c>
      <c r="F59" s="2">
        <v>30</v>
      </c>
      <c r="G59" s="2">
        <v>17</v>
      </c>
      <c r="H59" s="6">
        <v>2</v>
      </c>
      <c r="I59" s="7">
        <v>5</v>
      </c>
      <c r="J59" s="28">
        <f t="shared" si="3"/>
        <v>85</v>
      </c>
      <c r="K59" s="28">
        <f t="shared" si="1"/>
        <v>3</v>
      </c>
      <c r="L59" s="34">
        <f t="shared" si="2"/>
        <v>51</v>
      </c>
    </row>
    <row r="60" spans="2:12" ht="15" x14ac:dyDescent="0.25">
      <c r="B60" s="3">
        <v>19081055</v>
      </c>
      <c r="C60" s="3" t="s">
        <v>43</v>
      </c>
      <c r="D60" s="3" t="s">
        <v>20</v>
      </c>
      <c r="E60" s="3" t="s">
        <v>44</v>
      </c>
      <c r="F60" s="2">
        <v>21</v>
      </c>
      <c r="G60" s="2">
        <v>65</v>
      </c>
      <c r="H60" s="6">
        <v>15</v>
      </c>
      <c r="I60" s="7">
        <v>20</v>
      </c>
      <c r="J60" s="28">
        <f t="shared" si="3"/>
        <v>1300</v>
      </c>
      <c r="K60" s="28">
        <f t="shared" si="1"/>
        <v>5</v>
      </c>
      <c r="L60" s="34">
        <f t="shared" si="2"/>
        <v>325</v>
      </c>
    </row>
    <row r="61" spans="2:12" ht="15" x14ac:dyDescent="0.25">
      <c r="B61" s="3">
        <v>19081056</v>
      </c>
      <c r="C61" s="3" t="s">
        <v>43</v>
      </c>
      <c r="D61" s="3" t="s">
        <v>11</v>
      </c>
      <c r="E61" s="3" t="s">
        <v>44</v>
      </c>
      <c r="F61" s="2">
        <v>7</v>
      </c>
      <c r="G61" s="2">
        <v>23</v>
      </c>
      <c r="H61" s="6">
        <v>15</v>
      </c>
      <c r="I61" s="7">
        <v>20</v>
      </c>
      <c r="J61" s="28">
        <f t="shared" si="3"/>
        <v>460</v>
      </c>
      <c r="K61" s="28">
        <f t="shared" si="1"/>
        <v>5</v>
      </c>
      <c r="L61" s="34">
        <f t="shared" si="2"/>
        <v>115</v>
      </c>
    </row>
    <row r="62" spans="2:12" ht="15" x14ac:dyDescent="0.25">
      <c r="B62" s="3">
        <v>19081057</v>
      </c>
      <c r="C62" s="3" t="s">
        <v>43</v>
      </c>
      <c r="D62" s="3" t="s">
        <v>12</v>
      </c>
      <c r="E62" s="3" t="s">
        <v>44</v>
      </c>
      <c r="F62" s="2">
        <v>22</v>
      </c>
      <c r="G62" s="2">
        <v>57</v>
      </c>
      <c r="H62" s="6">
        <v>15</v>
      </c>
      <c r="I62" s="7">
        <v>20</v>
      </c>
      <c r="J62" s="28">
        <f t="shared" si="3"/>
        <v>1140</v>
      </c>
      <c r="K62" s="28">
        <f t="shared" si="1"/>
        <v>5</v>
      </c>
      <c r="L62" s="34">
        <f t="shared" si="2"/>
        <v>285</v>
      </c>
    </row>
    <row r="63" spans="2:12" ht="15" x14ac:dyDescent="0.25">
      <c r="B63" s="3">
        <v>19081058</v>
      </c>
      <c r="C63" s="3" t="s">
        <v>43</v>
      </c>
      <c r="D63" s="3" t="s">
        <v>20</v>
      </c>
      <c r="E63" s="3" t="s">
        <v>45</v>
      </c>
      <c r="F63" s="2">
        <v>5</v>
      </c>
      <c r="G63" s="2">
        <v>31</v>
      </c>
      <c r="H63" s="6">
        <v>3</v>
      </c>
      <c r="I63" s="7">
        <v>5</v>
      </c>
      <c r="J63" s="28">
        <f t="shared" si="3"/>
        <v>155</v>
      </c>
      <c r="K63" s="28">
        <f t="shared" si="1"/>
        <v>2</v>
      </c>
      <c r="L63" s="34">
        <f t="shared" si="2"/>
        <v>62</v>
      </c>
    </row>
    <row r="64" spans="2:12" ht="15" x14ac:dyDescent="0.25">
      <c r="B64" s="3">
        <v>19081059</v>
      </c>
      <c r="C64" s="3" t="s">
        <v>43</v>
      </c>
      <c r="D64" s="3" t="s">
        <v>11</v>
      </c>
      <c r="E64" s="3" t="s">
        <v>45</v>
      </c>
      <c r="F64" s="2">
        <v>5</v>
      </c>
      <c r="G64" s="2">
        <v>10</v>
      </c>
      <c r="H64" s="6">
        <v>3</v>
      </c>
      <c r="I64" s="7">
        <v>5</v>
      </c>
      <c r="J64" s="28">
        <f t="shared" si="3"/>
        <v>50</v>
      </c>
      <c r="K64" s="28">
        <f t="shared" si="1"/>
        <v>2</v>
      </c>
      <c r="L64" s="34">
        <f t="shared" si="2"/>
        <v>20</v>
      </c>
    </row>
    <row r="65" spans="2:12" ht="15" x14ac:dyDescent="0.25">
      <c r="B65" s="3">
        <v>19081060</v>
      </c>
      <c r="C65" s="3" t="s">
        <v>43</v>
      </c>
      <c r="D65" s="3" t="s">
        <v>12</v>
      </c>
      <c r="E65" s="3" t="s">
        <v>45</v>
      </c>
      <c r="F65" s="2">
        <v>14</v>
      </c>
      <c r="G65" s="2">
        <v>37</v>
      </c>
      <c r="H65" s="6">
        <v>3</v>
      </c>
      <c r="I65" s="7">
        <v>5</v>
      </c>
      <c r="J65" s="28">
        <f t="shared" si="3"/>
        <v>185</v>
      </c>
      <c r="K65" s="28">
        <f t="shared" si="1"/>
        <v>2</v>
      </c>
      <c r="L65" s="34">
        <f t="shared" si="2"/>
        <v>74</v>
      </c>
    </row>
    <row r="66" spans="2:12" ht="15" x14ac:dyDescent="0.25">
      <c r="B66" s="3">
        <v>19081061</v>
      </c>
      <c r="C66" s="3" t="s">
        <v>46</v>
      </c>
      <c r="D66" s="3" t="s">
        <v>47</v>
      </c>
      <c r="E66" s="3" t="s">
        <v>50</v>
      </c>
      <c r="F66" s="2">
        <v>17</v>
      </c>
      <c r="G66" s="2">
        <v>60</v>
      </c>
      <c r="H66" s="6">
        <v>10</v>
      </c>
      <c r="I66" s="7">
        <v>15</v>
      </c>
      <c r="J66" s="28">
        <f t="shared" si="3"/>
        <v>900</v>
      </c>
      <c r="K66" s="28">
        <f t="shared" si="1"/>
        <v>5</v>
      </c>
      <c r="L66" s="34">
        <f t="shared" si="2"/>
        <v>300</v>
      </c>
    </row>
    <row r="67" spans="2:12" ht="15" x14ac:dyDescent="0.25">
      <c r="B67" s="3">
        <v>19081062</v>
      </c>
      <c r="C67" s="3" t="s">
        <v>46</v>
      </c>
      <c r="D67" s="3" t="s">
        <v>15</v>
      </c>
      <c r="E67" s="3" t="s">
        <v>50</v>
      </c>
      <c r="F67" s="2">
        <v>10</v>
      </c>
      <c r="G67" s="2">
        <v>15</v>
      </c>
      <c r="H67" s="6">
        <v>10</v>
      </c>
      <c r="I67" s="7">
        <v>15</v>
      </c>
      <c r="J67" s="28">
        <f t="shared" si="3"/>
        <v>225</v>
      </c>
      <c r="K67" s="28">
        <f t="shared" si="1"/>
        <v>5</v>
      </c>
      <c r="L67" s="34">
        <f t="shared" si="2"/>
        <v>75</v>
      </c>
    </row>
    <row r="68" spans="2:12" ht="15" x14ac:dyDescent="0.25">
      <c r="B68" s="3">
        <v>19081063</v>
      </c>
      <c r="C68" s="3" t="s">
        <v>46</v>
      </c>
      <c r="D68" s="3" t="s">
        <v>16</v>
      </c>
      <c r="E68" s="3" t="s">
        <v>50</v>
      </c>
      <c r="F68" s="2">
        <v>20</v>
      </c>
      <c r="G68" s="2">
        <v>44</v>
      </c>
      <c r="H68" s="6">
        <v>10</v>
      </c>
      <c r="I68" s="7">
        <v>15</v>
      </c>
      <c r="J68" s="28">
        <f t="shared" si="3"/>
        <v>660</v>
      </c>
      <c r="K68" s="28">
        <f t="shared" si="1"/>
        <v>5</v>
      </c>
      <c r="L68" s="34">
        <f t="shared" si="2"/>
        <v>220</v>
      </c>
    </row>
    <row r="69" spans="2:12" ht="15" x14ac:dyDescent="0.25">
      <c r="B69" s="3">
        <v>19081064</v>
      </c>
      <c r="C69" s="3" t="s">
        <v>46</v>
      </c>
      <c r="D69" s="3" t="s">
        <v>13</v>
      </c>
      <c r="E69" s="3" t="s">
        <v>50</v>
      </c>
      <c r="F69" s="2">
        <v>20</v>
      </c>
      <c r="G69" s="2">
        <v>54</v>
      </c>
      <c r="H69" s="6">
        <v>10</v>
      </c>
      <c r="I69" s="7">
        <v>15</v>
      </c>
      <c r="J69" s="28">
        <f t="shared" si="3"/>
        <v>810</v>
      </c>
      <c r="K69" s="28">
        <f t="shared" si="1"/>
        <v>5</v>
      </c>
      <c r="L69" s="34">
        <f t="shared" si="2"/>
        <v>270</v>
      </c>
    </row>
    <row r="70" spans="2:12" ht="15" x14ac:dyDescent="0.25">
      <c r="B70" s="3">
        <v>19081065</v>
      </c>
      <c r="C70" s="3" t="s">
        <v>46</v>
      </c>
      <c r="D70" s="3" t="s">
        <v>12</v>
      </c>
      <c r="E70" s="3" t="s">
        <v>50</v>
      </c>
      <c r="F70" s="2">
        <v>9</v>
      </c>
      <c r="G70" s="2">
        <v>39</v>
      </c>
      <c r="H70" s="6">
        <v>10</v>
      </c>
      <c r="I70" s="7">
        <v>15</v>
      </c>
      <c r="J70" s="28">
        <f t="shared" si="3"/>
        <v>585</v>
      </c>
      <c r="K70" s="28">
        <f t="shared" si="1"/>
        <v>5</v>
      </c>
      <c r="L70" s="34">
        <f t="shared" si="2"/>
        <v>195</v>
      </c>
    </row>
    <row r="71" spans="2:12" ht="15" x14ac:dyDescent="0.25">
      <c r="B71" s="3">
        <v>19081066</v>
      </c>
      <c r="C71" s="3" t="s">
        <v>46</v>
      </c>
      <c r="D71" s="3" t="s">
        <v>14</v>
      </c>
      <c r="E71" s="3" t="s">
        <v>50</v>
      </c>
      <c r="F71" s="2">
        <v>14</v>
      </c>
      <c r="G71" s="2">
        <v>65</v>
      </c>
      <c r="H71" s="6">
        <v>10</v>
      </c>
      <c r="I71" s="7">
        <v>15</v>
      </c>
      <c r="J71" s="28">
        <f t="shared" ref="J71:J102" si="4">I71*G71</f>
        <v>975</v>
      </c>
      <c r="K71" s="28">
        <f t="shared" ref="K71:K123" si="5">I71-H71</f>
        <v>5</v>
      </c>
      <c r="L71" s="34">
        <f t="shared" ref="L71:L123" si="6">K71*G71</f>
        <v>325</v>
      </c>
    </row>
    <row r="72" spans="2:12" ht="15" x14ac:dyDescent="0.25">
      <c r="B72" s="3">
        <v>19081067</v>
      </c>
      <c r="C72" s="3" t="s">
        <v>46</v>
      </c>
      <c r="D72" s="3" t="s">
        <v>19</v>
      </c>
      <c r="E72" s="3" t="s">
        <v>50</v>
      </c>
      <c r="F72" s="2">
        <v>30</v>
      </c>
      <c r="G72" s="2">
        <v>35</v>
      </c>
      <c r="H72" s="6">
        <v>10</v>
      </c>
      <c r="I72" s="7">
        <v>15</v>
      </c>
      <c r="J72" s="28">
        <f t="shared" si="4"/>
        <v>525</v>
      </c>
      <c r="K72" s="28">
        <f t="shared" si="5"/>
        <v>5</v>
      </c>
      <c r="L72" s="34">
        <f t="shared" si="6"/>
        <v>175</v>
      </c>
    </row>
    <row r="73" spans="2:12" x14ac:dyDescent="0.3">
      <c r="B73" s="3">
        <v>19081068</v>
      </c>
      <c r="C73" s="3" t="s">
        <v>46</v>
      </c>
      <c r="D73" s="3" t="s">
        <v>48</v>
      </c>
      <c r="E73" s="3" t="s">
        <v>50</v>
      </c>
      <c r="F73" s="2">
        <v>6</v>
      </c>
      <c r="G73" s="2">
        <v>65</v>
      </c>
      <c r="H73" s="6">
        <v>10</v>
      </c>
      <c r="I73" s="7">
        <v>15</v>
      </c>
      <c r="J73" s="28">
        <f t="shared" si="4"/>
        <v>975</v>
      </c>
      <c r="K73" s="28">
        <f t="shared" si="5"/>
        <v>5</v>
      </c>
      <c r="L73" s="34">
        <f t="shared" si="6"/>
        <v>325</v>
      </c>
    </row>
    <row r="74" spans="2:12" x14ac:dyDescent="0.3">
      <c r="B74" s="3">
        <v>19081069</v>
      </c>
      <c r="C74" s="3" t="s">
        <v>46</v>
      </c>
      <c r="D74" s="3" t="s">
        <v>20</v>
      </c>
      <c r="E74" s="3" t="s">
        <v>50</v>
      </c>
      <c r="F74" s="2">
        <v>13</v>
      </c>
      <c r="G74" s="2">
        <v>69</v>
      </c>
      <c r="H74" s="6">
        <v>10</v>
      </c>
      <c r="I74" s="7">
        <v>15</v>
      </c>
      <c r="J74" s="28">
        <f t="shared" si="4"/>
        <v>1035</v>
      </c>
      <c r="K74" s="28">
        <f t="shared" si="5"/>
        <v>5</v>
      </c>
      <c r="L74" s="34">
        <f t="shared" si="6"/>
        <v>345</v>
      </c>
    </row>
    <row r="75" spans="2:12" x14ac:dyDescent="0.3">
      <c r="B75" s="3">
        <v>19081070</v>
      </c>
      <c r="C75" s="3" t="s">
        <v>46</v>
      </c>
      <c r="D75" s="3" t="s">
        <v>49</v>
      </c>
      <c r="E75" s="3" t="s">
        <v>50</v>
      </c>
      <c r="F75" s="2">
        <v>10</v>
      </c>
      <c r="G75" s="2">
        <v>51</v>
      </c>
      <c r="H75" s="6">
        <v>10</v>
      </c>
      <c r="I75" s="7">
        <v>15</v>
      </c>
      <c r="J75" s="28">
        <f t="shared" si="4"/>
        <v>765</v>
      </c>
      <c r="K75" s="28">
        <f t="shared" si="5"/>
        <v>5</v>
      </c>
      <c r="L75" s="34">
        <f t="shared" si="6"/>
        <v>255</v>
      </c>
    </row>
    <row r="76" spans="2:12" x14ac:dyDescent="0.3">
      <c r="B76" s="3">
        <v>19081071</v>
      </c>
      <c r="C76" s="3" t="s">
        <v>46</v>
      </c>
      <c r="D76" s="3" t="s">
        <v>24</v>
      </c>
      <c r="E76" s="3" t="s">
        <v>50</v>
      </c>
      <c r="F76" s="2">
        <v>19</v>
      </c>
      <c r="G76" s="2">
        <v>44</v>
      </c>
      <c r="H76" s="6">
        <v>10</v>
      </c>
      <c r="I76" s="7">
        <v>15</v>
      </c>
      <c r="J76" s="28">
        <f t="shared" si="4"/>
        <v>660</v>
      </c>
      <c r="K76" s="28">
        <f t="shared" si="5"/>
        <v>5</v>
      </c>
      <c r="L76" s="34">
        <f t="shared" si="6"/>
        <v>220</v>
      </c>
    </row>
    <row r="77" spans="2:12" x14ac:dyDescent="0.3">
      <c r="B77" s="3">
        <v>19081072</v>
      </c>
      <c r="C77" s="3" t="s">
        <v>53</v>
      </c>
      <c r="D77" s="3" t="s">
        <v>11</v>
      </c>
      <c r="E77" s="3" t="s">
        <v>21</v>
      </c>
      <c r="F77" s="2">
        <v>30</v>
      </c>
      <c r="G77" s="2">
        <v>65</v>
      </c>
      <c r="H77" s="6">
        <v>50</v>
      </c>
      <c r="I77" s="7">
        <v>75</v>
      </c>
      <c r="J77" s="28">
        <f t="shared" si="4"/>
        <v>4875</v>
      </c>
      <c r="K77" s="28">
        <f t="shared" si="5"/>
        <v>25</v>
      </c>
      <c r="L77" s="34">
        <f t="shared" si="6"/>
        <v>1625</v>
      </c>
    </row>
    <row r="78" spans="2:12" x14ac:dyDescent="0.3">
      <c r="B78" s="3">
        <v>19081073</v>
      </c>
      <c r="C78" s="3" t="s">
        <v>53</v>
      </c>
      <c r="D78" s="3" t="s">
        <v>15</v>
      </c>
      <c r="E78" s="3" t="s">
        <v>21</v>
      </c>
      <c r="F78" s="2">
        <v>23</v>
      </c>
      <c r="G78" s="2">
        <v>23</v>
      </c>
      <c r="H78" s="6">
        <v>50</v>
      </c>
      <c r="I78" s="7">
        <v>75</v>
      </c>
      <c r="J78" s="28">
        <f t="shared" si="4"/>
        <v>1725</v>
      </c>
      <c r="K78" s="28">
        <f t="shared" si="5"/>
        <v>25</v>
      </c>
      <c r="L78" s="34">
        <f t="shared" si="6"/>
        <v>575</v>
      </c>
    </row>
    <row r="79" spans="2:12" x14ac:dyDescent="0.3">
      <c r="B79" s="3">
        <v>19081074</v>
      </c>
      <c r="C79" s="3" t="s">
        <v>53</v>
      </c>
      <c r="D79" s="3" t="s">
        <v>16</v>
      </c>
      <c r="E79" s="3" t="s">
        <v>21</v>
      </c>
      <c r="F79" s="2">
        <v>12</v>
      </c>
      <c r="G79" s="2">
        <v>29</v>
      </c>
      <c r="H79" s="6">
        <v>50</v>
      </c>
      <c r="I79" s="7">
        <v>75</v>
      </c>
      <c r="J79" s="28">
        <f t="shared" si="4"/>
        <v>2175</v>
      </c>
      <c r="K79" s="28">
        <f t="shared" si="5"/>
        <v>25</v>
      </c>
      <c r="L79" s="34">
        <f t="shared" si="6"/>
        <v>725</v>
      </c>
    </row>
    <row r="80" spans="2:12" x14ac:dyDescent="0.3">
      <c r="B80" s="3">
        <v>19081075</v>
      </c>
      <c r="C80" s="3" t="s">
        <v>53</v>
      </c>
      <c r="D80" s="3" t="s">
        <v>13</v>
      </c>
      <c r="E80" s="3" t="s">
        <v>21</v>
      </c>
      <c r="F80" s="2">
        <v>16</v>
      </c>
      <c r="G80" s="2">
        <v>70</v>
      </c>
      <c r="H80" s="6">
        <v>50</v>
      </c>
      <c r="I80" s="7">
        <v>75</v>
      </c>
      <c r="J80" s="28">
        <f t="shared" si="4"/>
        <v>5250</v>
      </c>
      <c r="K80" s="28">
        <f t="shared" si="5"/>
        <v>25</v>
      </c>
      <c r="L80" s="34">
        <f t="shared" si="6"/>
        <v>1750</v>
      </c>
    </row>
    <row r="81" spans="2:12" x14ac:dyDescent="0.3">
      <c r="B81" s="3">
        <v>19081076</v>
      </c>
      <c r="C81" s="3" t="s">
        <v>53</v>
      </c>
      <c r="D81" s="3" t="s">
        <v>12</v>
      </c>
      <c r="E81" s="3" t="s">
        <v>21</v>
      </c>
      <c r="F81" s="2">
        <v>9</v>
      </c>
      <c r="G81" s="2">
        <v>62</v>
      </c>
      <c r="H81" s="6">
        <v>50</v>
      </c>
      <c r="I81" s="7">
        <v>75</v>
      </c>
      <c r="J81" s="28">
        <f t="shared" si="4"/>
        <v>4650</v>
      </c>
      <c r="K81" s="28">
        <f t="shared" si="5"/>
        <v>25</v>
      </c>
      <c r="L81" s="34">
        <f t="shared" si="6"/>
        <v>1550</v>
      </c>
    </row>
    <row r="82" spans="2:12" x14ac:dyDescent="0.3">
      <c r="B82" s="3">
        <v>19081077</v>
      </c>
      <c r="C82" s="3" t="s">
        <v>53</v>
      </c>
      <c r="D82" s="3" t="s">
        <v>14</v>
      </c>
      <c r="E82" s="3" t="s">
        <v>21</v>
      </c>
      <c r="F82" s="2">
        <v>22</v>
      </c>
      <c r="G82" s="2">
        <v>27</v>
      </c>
      <c r="H82" s="6">
        <v>50</v>
      </c>
      <c r="I82" s="7">
        <v>75</v>
      </c>
      <c r="J82" s="28">
        <f t="shared" si="4"/>
        <v>2025</v>
      </c>
      <c r="K82" s="28">
        <f t="shared" si="5"/>
        <v>25</v>
      </c>
      <c r="L82" s="34">
        <f t="shared" si="6"/>
        <v>675</v>
      </c>
    </row>
    <row r="83" spans="2:12" x14ac:dyDescent="0.3">
      <c r="B83" s="3">
        <v>19081078</v>
      </c>
      <c r="C83" s="3" t="s">
        <v>53</v>
      </c>
      <c r="D83" s="3" t="s">
        <v>20</v>
      </c>
      <c r="E83" s="3" t="s">
        <v>21</v>
      </c>
      <c r="F83" s="2">
        <v>28</v>
      </c>
      <c r="G83" s="2">
        <v>67</v>
      </c>
      <c r="H83" s="6">
        <v>50</v>
      </c>
      <c r="I83" s="7">
        <v>75</v>
      </c>
      <c r="J83" s="28">
        <f t="shared" si="4"/>
        <v>5025</v>
      </c>
      <c r="K83" s="28">
        <f t="shared" si="5"/>
        <v>25</v>
      </c>
      <c r="L83" s="34">
        <f t="shared" si="6"/>
        <v>1675</v>
      </c>
    </row>
    <row r="84" spans="2:12" x14ac:dyDescent="0.3">
      <c r="B84" s="3">
        <v>19081079</v>
      </c>
      <c r="C84" s="3" t="s">
        <v>53</v>
      </c>
      <c r="D84" s="3" t="s">
        <v>51</v>
      </c>
      <c r="E84" s="3" t="s">
        <v>21</v>
      </c>
      <c r="F84" s="2">
        <v>7</v>
      </c>
      <c r="G84" s="2">
        <v>42</v>
      </c>
      <c r="H84" s="6">
        <v>50</v>
      </c>
      <c r="I84" s="7">
        <v>75</v>
      </c>
      <c r="J84" s="28">
        <f t="shared" si="4"/>
        <v>3150</v>
      </c>
      <c r="K84" s="28">
        <f t="shared" si="5"/>
        <v>25</v>
      </c>
      <c r="L84" s="34">
        <f t="shared" si="6"/>
        <v>1050</v>
      </c>
    </row>
    <row r="85" spans="2:12" x14ac:dyDescent="0.3">
      <c r="B85" s="3">
        <v>19081080</v>
      </c>
      <c r="C85" s="3" t="s">
        <v>53</v>
      </c>
      <c r="D85" s="3" t="s">
        <v>11</v>
      </c>
      <c r="E85" s="3" t="s">
        <v>54</v>
      </c>
      <c r="F85" s="2">
        <v>30</v>
      </c>
      <c r="G85" s="2">
        <v>56</v>
      </c>
      <c r="H85" s="6">
        <v>35</v>
      </c>
      <c r="I85" s="7">
        <v>55</v>
      </c>
      <c r="J85" s="28">
        <f t="shared" si="4"/>
        <v>3080</v>
      </c>
      <c r="K85" s="28">
        <f t="shared" si="5"/>
        <v>20</v>
      </c>
      <c r="L85" s="34">
        <f t="shared" si="6"/>
        <v>1120</v>
      </c>
    </row>
    <row r="86" spans="2:12" x14ac:dyDescent="0.3">
      <c r="B86" s="3">
        <v>19081081</v>
      </c>
      <c r="C86" s="3" t="s">
        <v>53</v>
      </c>
      <c r="D86" s="3" t="s">
        <v>15</v>
      </c>
      <c r="E86" s="3" t="s">
        <v>54</v>
      </c>
      <c r="F86" s="2">
        <v>6</v>
      </c>
      <c r="G86" s="2">
        <v>31</v>
      </c>
      <c r="H86" s="6">
        <v>35</v>
      </c>
      <c r="I86" s="7">
        <v>55</v>
      </c>
      <c r="J86" s="28">
        <f t="shared" si="4"/>
        <v>1705</v>
      </c>
      <c r="K86" s="28">
        <f t="shared" si="5"/>
        <v>20</v>
      </c>
      <c r="L86" s="34">
        <f t="shared" si="6"/>
        <v>620</v>
      </c>
    </row>
    <row r="87" spans="2:12" x14ac:dyDescent="0.3">
      <c r="B87" s="3">
        <v>19081082</v>
      </c>
      <c r="C87" s="3" t="s">
        <v>53</v>
      </c>
      <c r="D87" s="3" t="s">
        <v>16</v>
      </c>
      <c r="E87" s="3" t="s">
        <v>54</v>
      </c>
      <c r="F87" s="2">
        <v>18</v>
      </c>
      <c r="G87" s="2">
        <v>44</v>
      </c>
      <c r="H87" s="6">
        <v>35</v>
      </c>
      <c r="I87" s="7">
        <v>55</v>
      </c>
      <c r="J87" s="28">
        <f t="shared" si="4"/>
        <v>2420</v>
      </c>
      <c r="K87" s="28">
        <f t="shared" si="5"/>
        <v>20</v>
      </c>
      <c r="L87" s="34">
        <f t="shared" si="6"/>
        <v>880</v>
      </c>
    </row>
    <row r="88" spans="2:12" x14ac:dyDescent="0.3">
      <c r="B88" s="3">
        <v>19081083</v>
      </c>
      <c r="C88" s="3" t="s">
        <v>53</v>
      </c>
      <c r="D88" s="3" t="s">
        <v>13</v>
      </c>
      <c r="E88" s="3" t="s">
        <v>54</v>
      </c>
      <c r="F88" s="2">
        <v>15</v>
      </c>
      <c r="G88" s="2">
        <v>33</v>
      </c>
      <c r="H88" s="6">
        <v>35</v>
      </c>
      <c r="I88" s="7">
        <v>55</v>
      </c>
      <c r="J88" s="28">
        <f t="shared" si="4"/>
        <v>1815</v>
      </c>
      <c r="K88" s="28">
        <f t="shared" si="5"/>
        <v>20</v>
      </c>
      <c r="L88" s="34">
        <f t="shared" si="6"/>
        <v>660</v>
      </c>
    </row>
    <row r="89" spans="2:12" x14ac:dyDescent="0.3">
      <c r="B89" s="3">
        <v>19081084</v>
      </c>
      <c r="C89" s="3" t="s">
        <v>53</v>
      </c>
      <c r="D89" s="3" t="s">
        <v>12</v>
      </c>
      <c r="E89" s="3" t="s">
        <v>54</v>
      </c>
      <c r="F89" s="2">
        <v>23</v>
      </c>
      <c r="G89" s="2">
        <v>20</v>
      </c>
      <c r="H89" s="6">
        <v>35</v>
      </c>
      <c r="I89" s="7">
        <v>55</v>
      </c>
      <c r="J89" s="28">
        <f t="shared" si="4"/>
        <v>1100</v>
      </c>
      <c r="K89" s="28">
        <f t="shared" si="5"/>
        <v>20</v>
      </c>
      <c r="L89" s="34">
        <f t="shared" si="6"/>
        <v>400</v>
      </c>
    </row>
    <row r="90" spans="2:12" x14ac:dyDescent="0.3">
      <c r="B90" s="3">
        <v>19081085</v>
      </c>
      <c r="C90" s="3" t="s">
        <v>53</v>
      </c>
      <c r="D90" s="3" t="s">
        <v>14</v>
      </c>
      <c r="E90" s="3" t="s">
        <v>54</v>
      </c>
      <c r="F90" s="2">
        <v>9</v>
      </c>
      <c r="G90" s="2">
        <v>47</v>
      </c>
      <c r="H90" s="6">
        <v>35</v>
      </c>
      <c r="I90" s="7">
        <v>55</v>
      </c>
      <c r="J90" s="28">
        <f t="shared" si="4"/>
        <v>2585</v>
      </c>
      <c r="K90" s="28">
        <f t="shared" si="5"/>
        <v>20</v>
      </c>
      <c r="L90" s="34">
        <f t="shared" si="6"/>
        <v>940</v>
      </c>
    </row>
    <row r="91" spans="2:12" x14ac:dyDescent="0.3">
      <c r="B91" s="3">
        <v>19081086</v>
      </c>
      <c r="C91" s="3" t="s">
        <v>53</v>
      </c>
      <c r="D91" s="3" t="s">
        <v>20</v>
      </c>
      <c r="E91" s="3" t="s">
        <v>54</v>
      </c>
      <c r="F91" s="2">
        <v>9</v>
      </c>
      <c r="G91" s="2">
        <v>53</v>
      </c>
      <c r="H91" s="6">
        <v>35</v>
      </c>
      <c r="I91" s="7">
        <v>55</v>
      </c>
      <c r="J91" s="28">
        <f t="shared" si="4"/>
        <v>2915</v>
      </c>
      <c r="K91" s="28">
        <f t="shared" si="5"/>
        <v>20</v>
      </c>
      <c r="L91" s="34">
        <f t="shared" si="6"/>
        <v>1060</v>
      </c>
    </row>
    <row r="92" spans="2:12" x14ac:dyDescent="0.3">
      <c r="B92" s="3">
        <v>19081087</v>
      </c>
      <c r="C92" s="3" t="s">
        <v>52</v>
      </c>
      <c r="D92" s="3" t="s">
        <v>11</v>
      </c>
      <c r="E92" s="3" t="s">
        <v>21</v>
      </c>
      <c r="F92" s="2">
        <v>8</v>
      </c>
      <c r="G92" s="2">
        <v>19</v>
      </c>
      <c r="H92" s="6">
        <v>50</v>
      </c>
      <c r="I92" s="7">
        <v>75</v>
      </c>
      <c r="J92" s="28">
        <f t="shared" si="4"/>
        <v>1425</v>
      </c>
      <c r="K92" s="28">
        <f t="shared" si="5"/>
        <v>25</v>
      </c>
      <c r="L92" s="34">
        <f t="shared" si="6"/>
        <v>475</v>
      </c>
    </row>
    <row r="93" spans="2:12" x14ac:dyDescent="0.3">
      <c r="B93" s="3">
        <v>19081088</v>
      </c>
      <c r="C93" s="3" t="s">
        <v>52</v>
      </c>
      <c r="D93" s="3" t="s">
        <v>15</v>
      </c>
      <c r="E93" s="3" t="s">
        <v>21</v>
      </c>
      <c r="F93" s="2">
        <v>9</v>
      </c>
      <c r="G93" s="2">
        <v>15</v>
      </c>
      <c r="H93" s="6">
        <v>50</v>
      </c>
      <c r="I93" s="7">
        <v>75</v>
      </c>
      <c r="J93" s="28">
        <f t="shared" si="4"/>
        <v>1125</v>
      </c>
      <c r="K93" s="28">
        <f t="shared" si="5"/>
        <v>25</v>
      </c>
      <c r="L93" s="34">
        <f t="shared" si="6"/>
        <v>375</v>
      </c>
    </row>
    <row r="94" spans="2:12" x14ac:dyDescent="0.3">
      <c r="B94" s="3">
        <v>19081089</v>
      </c>
      <c r="C94" s="3" t="s">
        <v>52</v>
      </c>
      <c r="D94" s="3" t="s">
        <v>16</v>
      </c>
      <c r="E94" s="3" t="s">
        <v>21</v>
      </c>
      <c r="F94" s="2">
        <v>12</v>
      </c>
      <c r="G94" s="2">
        <v>42</v>
      </c>
      <c r="H94" s="6">
        <v>50</v>
      </c>
      <c r="I94" s="7">
        <v>75</v>
      </c>
      <c r="J94" s="28">
        <f t="shared" si="4"/>
        <v>3150</v>
      </c>
      <c r="K94" s="28">
        <f t="shared" si="5"/>
        <v>25</v>
      </c>
      <c r="L94" s="34">
        <f t="shared" si="6"/>
        <v>1050</v>
      </c>
    </row>
    <row r="95" spans="2:12" x14ac:dyDescent="0.3">
      <c r="B95" s="3">
        <v>19081090</v>
      </c>
      <c r="C95" s="3" t="s">
        <v>52</v>
      </c>
      <c r="D95" s="3" t="s">
        <v>13</v>
      </c>
      <c r="E95" s="3" t="s">
        <v>21</v>
      </c>
      <c r="F95" s="2">
        <v>22</v>
      </c>
      <c r="G95" s="2">
        <v>65</v>
      </c>
      <c r="H95" s="6">
        <v>50</v>
      </c>
      <c r="I95" s="7">
        <v>75</v>
      </c>
      <c r="J95" s="28">
        <f t="shared" si="4"/>
        <v>4875</v>
      </c>
      <c r="K95" s="28">
        <f t="shared" si="5"/>
        <v>25</v>
      </c>
      <c r="L95" s="34">
        <f t="shared" si="6"/>
        <v>1625</v>
      </c>
    </row>
    <row r="96" spans="2:12" x14ac:dyDescent="0.3">
      <c r="B96" s="3">
        <v>19081091</v>
      </c>
      <c r="C96" s="3" t="s">
        <v>52</v>
      </c>
      <c r="D96" s="3" t="s">
        <v>12</v>
      </c>
      <c r="E96" s="3" t="s">
        <v>21</v>
      </c>
      <c r="F96" s="2">
        <v>5</v>
      </c>
      <c r="G96" s="2">
        <v>32</v>
      </c>
      <c r="H96" s="6">
        <v>50</v>
      </c>
      <c r="I96" s="7">
        <v>75</v>
      </c>
      <c r="J96" s="28">
        <f t="shared" si="4"/>
        <v>2400</v>
      </c>
      <c r="K96" s="28">
        <f t="shared" si="5"/>
        <v>25</v>
      </c>
      <c r="L96" s="34">
        <f t="shared" si="6"/>
        <v>800</v>
      </c>
    </row>
    <row r="97" spans="2:12" x14ac:dyDescent="0.3">
      <c r="B97" s="3">
        <v>19081092</v>
      </c>
      <c r="C97" s="3" t="s">
        <v>52</v>
      </c>
      <c r="D97" s="3" t="s">
        <v>14</v>
      </c>
      <c r="E97" s="3" t="s">
        <v>21</v>
      </c>
      <c r="F97" s="2">
        <v>9</v>
      </c>
      <c r="G97" s="2">
        <v>35</v>
      </c>
      <c r="H97" s="6">
        <v>50</v>
      </c>
      <c r="I97" s="7">
        <v>75</v>
      </c>
      <c r="J97" s="28">
        <f t="shared" si="4"/>
        <v>2625</v>
      </c>
      <c r="K97" s="28">
        <f t="shared" si="5"/>
        <v>25</v>
      </c>
      <c r="L97" s="34">
        <f t="shared" si="6"/>
        <v>875</v>
      </c>
    </row>
    <row r="98" spans="2:12" x14ac:dyDescent="0.3">
      <c r="B98" s="3">
        <v>19081093</v>
      </c>
      <c r="C98" s="3" t="s">
        <v>52</v>
      </c>
      <c r="D98" s="3" t="s">
        <v>20</v>
      </c>
      <c r="E98" s="3" t="s">
        <v>21</v>
      </c>
      <c r="F98" s="2">
        <v>13</v>
      </c>
      <c r="G98" s="2">
        <v>68</v>
      </c>
      <c r="H98" s="6">
        <v>50</v>
      </c>
      <c r="I98" s="7">
        <v>75</v>
      </c>
      <c r="J98" s="28">
        <f t="shared" si="4"/>
        <v>5100</v>
      </c>
      <c r="K98" s="28">
        <f t="shared" si="5"/>
        <v>25</v>
      </c>
      <c r="L98" s="34">
        <f t="shared" si="6"/>
        <v>1700</v>
      </c>
    </row>
    <row r="99" spans="2:12" x14ac:dyDescent="0.3">
      <c r="B99" s="3">
        <v>19081094</v>
      </c>
      <c r="C99" s="3" t="s">
        <v>52</v>
      </c>
      <c r="D99" s="3" t="s">
        <v>51</v>
      </c>
      <c r="E99" s="3" t="s">
        <v>21</v>
      </c>
      <c r="F99" s="2">
        <v>11</v>
      </c>
      <c r="G99" s="2">
        <v>23</v>
      </c>
      <c r="H99" s="6">
        <v>50</v>
      </c>
      <c r="I99" s="7">
        <v>75</v>
      </c>
      <c r="J99" s="28">
        <f t="shared" si="4"/>
        <v>1725</v>
      </c>
      <c r="K99" s="28">
        <f t="shared" si="5"/>
        <v>25</v>
      </c>
      <c r="L99" s="34">
        <f t="shared" si="6"/>
        <v>575</v>
      </c>
    </row>
    <row r="100" spans="2:12" x14ac:dyDescent="0.3">
      <c r="B100" s="3">
        <v>19081095</v>
      </c>
      <c r="C100" s="3" t="s">
        <v>52</v>
      </c>
      <c r="D100" s="3" t="s">
        <v>11</v>
      </c>
      <c r="E100" s="3" t="s">
        <v>54</v>
      </c>
      <c r="F100" s="2">
        <v>16</v>
      </c>
      <c r="G100" s="2">
        <v>41</v>
      </c>
      <c r="H100" s="6">
        <v>35</v>
      </c>
      <c r="I100" s="7">
        <v>55</v>
      </c>
      <c r="J100" s="28">
        <f t="shared" si="4"/>
        <v>2255</v>
      </c>
      <c r="K100" s="28">
        <f t="shared" si="5"/>
        <v>20</v>
      </c>
      <c r="L100" s="34">
        <f t="shared" si="6"/>
        <v>820</v>
      </c>
    </row>
    <row r="101" spans="2:12" x14ac:dyDescent="0.3">
      <c r="B101" s="3">
        <v>19081096</v>
      </c>
      <c r="C101" s="3" t="s">
        <v>52</v>
      </c>
      <c r="D101" s="3" t="s">
        <v>15</v>
      </c>
      <c r="E101" s="3" t="s">
        <v>54</v>
      </c>
      <c r="F101" s="2">
        <v>10</v>
      </c>
      <c r="G101" s="2">
        <v>38</v>
      </c>
      <c r="H101" s="6">
        <v>35</v>
      </c>
      <c r="I101" s="7">
        <v>55</v>
      </c>
      <c r="J101" s="28">
        <f t="shared" si="4"/>
        <v>2090</v>
      </c>
      <c r="K101" s="28">
        <f t="shared" si="5"/>
        <v>20</v>
      </c>
      <c r="L101" s="34">
        <f t="shared" si="6"/>
        <v>760</v>
      </c>
    </row>
    <row r="102" spans="2:12" x14ac:dyDescent="0.3">
      <c r="B102" s="3">
        <v>19081097</v>
      </c>
      <c r="C102" s="3" t="s">
        <v>52</v>
      </c>
      <c r="D102" s="3" t="s">
        <v>16</v>
      </c>
      <c r="E102" s="3" t="s">
        <v>54</v>
      </c>
      <c r="F102" s="2">
        <v>9</v>
      </c>
      <c r="G102" s="2">
        <v>50</v>
      </c>
      <c r="H102" s="6">
        <v>35</v>
      </c>
      <c r="I102" s="7">
        <v>55</v>
      </c>
      <c r="J102" s="28">
        <f t="shared" si="4"/>
        <v>2750</v>
      </c>
      <c r="K102" s="28">
        <f t="shared" si="5"/>
        <v>20</v>
      </c>
      <c r="L102" s="34">
        <f t="shared" si="6"/>
        <v>1000</v>
      </c>
    </row>
    <row r="103" spans="2:12" x14ac:dyDescent="0.3">
      <c r="B103" s="3">
        <v>19081098</v>
      </c>
      <c r="C103" s="3" t="s">
        <v>52</v>
      </c>
      <c r="D103" s="3" t="s">
        <v>13</v>
      </c>
      <c r="E103" s="3" t="s">
        <v>54</v>
      </c>
      <c r="F103" s="2">
        <v>8</v>
      </c>
      <c r="G103" s="2">
        <v>22</v>
      </c>
      <c r="H103" s="6">
        <v>35</v>
      </c>
      <c r="I103" s="7">
        <v>55</v>
      </c>
      <c r="J103" s="28">
        <f t="shared" ref="J103:J123" si="7">I103*G103</f>
        <v>1210</v>
      </c>
      <c r="K103" s="28">
        <f t="shared" si="5"/>
        <v>20</v>
      </c>
      <c r="L103" s="34">
        <f t="shared" si="6"/>
        <v>440</v>
      </c>
    </row>
    <row r="104" spans="2:12" x14ac:dyDescent="0.3">
      <c r="B104" s="3">
        <v>19081099</v>
      </c>
      <c r="C104" s="3" t="s">
        <v>52</v>
      </c>
      <c r="D104" s="3" t="s">
        <v>12</v>
      </c>
      <c r="E104" s="3" t="s">
        <v>54</v>
      </c>
      <c r="F104" s="2">
        <v>20</v>
      </c>
      <c r="G104" s="2">
        <v>49</v>
      </c>
      <c r="H104" s="6">
        <v>35</v>
      </c>
      <c r="I104" s="7">
        <v>55</v>
      </c>
      <c r="J104" s="28">
        <f t="shared" si="7"/>
        <v>2695</v>
      </c>
      <c r="K104" s="28">
        <f t="shared" si="5"/>
        <v>20</v>
      </c>
      <c r="L104" s="34">
        <f t="shared" si="6"/>
        <v>980</v>
      </c>
    </row>
    <row r="105" spans="2:12" x14ac:dyDescent="0.3">
      <c r="B105" s="3">
        <v>19081100</v>
      </c>
      <c r="C105" s="3" t="s">
        <v>52</v>
      </c>
      <c r="D105" s="3" t="s">
        <v>14</v>
      </c>
      <c r="E105" s="3" t="s">
        <v>54</v>
      </c>
      <c r="F105" s="2">
        <v>19</v>
      </c>
      <c r="G105" s="2">
        <v>46</v>
      </c>
      <c r="H105" s="6">
        <v>35</v>
      </c>
      <c r="I105" s="7">
        <v>55</v>
      </c>
      <c r="J105" s="28">
        <f t="shared" si="7"/>
        <v>2530</v>
      </c>
      <c r="K105" s="28">
        <f t="shared" si="5"/>
        <v>20</v>
      </c>
      <c r="L105" s="34">
        <f t="shared" si="6"/>
        <v>920</v>
      </c>
    </row>
    <row r="106" spans="2:12" x14ac:dyDescent="0.3">
      <c r="B106" s="3">
        <v>19081101</v>
      </c>
      <c r="C106" s="3" t="s">
        <v>52</v>
      </c>
      <c r="D106" s="3" t="s">
        <v>20</v>
      </c>
      <c r="E106" s="3" t="s">
        <v>54</v>
      </c>
      <c r="F106" s="2">
        <v>22</v>
      </c>
      <c r="G106" s="2">
        <v>45</v>
      </c>
      <c r="H106" s="6">
        <v>35</v>
      </c>
      <c r="I106" s="7">
        <v>55</v>
      </c>
      <c r="J106" s="28">
        <f t="shared" si="7"/>
        <v>2475</v>
      </c>
      <c r="K106" s="28">
        <f t="shared" si="5"/>
        <v>20</v>
      </c>
      <c r="L106" s="34">
        <f t="shared" si="6"/>
        <v>900</v>
      </c>
    </row>
    <row r="107" spans="2:12" x14ac:dyDescent="0.3">
      <c r="B107" s="3">
        <v>19081102</v>
      </c>
      <c r="C107" s="3" t="s">
        <v>55</v>
      </c>
      <c r="D107" s="3" t="s">
        <v>24</v>
      </c>
      <c r="E107" s="3" t="s">
        <v>57</v>
      </c>
      <c r="F107" s="2">
        <v>21</v>
      </c>
      <c r="G107" s="2">
        <v>57</v>
      </c>
      <c r="H107" s="6">
        <v>2</v>
      </c>
      <c r="I107" s="7">
        <v>5</v>
      </c>
      <c r="J107" s="28">
        <f t="shared" si="7"/>
        <v>285</v>
      </c>
      <c r="K107" s="28">
        <f t="shared" si="5"/>
        <v>3</v>
      </c>
      <c r="L107" s="34">
        <f t="shared" si="6"/>
        <v>171</v>
      </c>
    </row>
    <row r="108" spans="2:12" x14ac:dyDescent="0.3">
      <c r="B108" s="3">
        <v>19081103</v>
      </c>
      <c r="C108" s="3" t="s">
        <v>55</v>
      </c>
      <c r="D108" s="3" t="s">
        <v>20</v>
      </c>
      <c r="E108" s="3" t="s">
        <v>57</v>
      </c>
      <c r="F108" s="2">
        <v>15</v>
      </c>
      <c r="G108" s="2">
        <v>68</v>
      </c>
      <c r="H108" s="6">
        <v>2</v>
      </c>
      <c r="I108" s="7">
        <v>5</v>
      </c>
      <c r="J108" s="28">
        <f t="shared" si="7"/>
        <v>340</v>
      </c>
      <c r="K108" s="28">
        <f t="shared" si="5"/>
        <v>3</v>
      </c>
      <c r="L108" s="34">
        <f t="shared" si="6"/>
        <v>204</v>
      </c>
    </row>
    <row r="109" spans="2:12" x14ac:dyDescent="0.3">
      <c r="B109" s="3">
        <v>19081104</v>
      </c>
      <c r="C109" s="3" t="s">
        <v>55</v>
      </c>
      <c r="D109" s="3" t="s">
        <v>12</v>
      </c>
      <c r="E109" s="3" t="s">
        <v>57</v>
      </c>
      <c r="F109" s="2">
        <v>18</v>
      </c>
      <c r="G109" s="2">
        <v>43</v>
      </c>
      <c r="H109" s="6">
        <v>2</v>
      </c>
      <c r="I109" s="7">
        <v>5</v>
      </c>
      <c r="J109" s="28">
        <f t="shared" si="7"/>
        <v>215</v>
      </c>
      <c r="K109" s="28">
        <f t="shared" si="5"/>
        <v>3</v>
      </c>
      <c r="L109" s="34">
        <f t="shared" si="6"/>
        <v>129</v>
      </c>
    </row>
    <row r="110" spans="2:12" x14ac:dyDescent="0.3">
      <c r="B110" s="3">
        <v>19081105</v>
      </c>
      <c r="C110" s="3" t="s">
        <v>55</v>
      </c>
      <c r="D110" s="3" t="s">
        <v>13</v>
      </c>
      <c r="E110" s="3" t="s">
        <v>57</v>
      </c>
      <c r="F110" s="2">
        <v>23</v>
      </c>
      <c r="G110" s="2">
        <v>68</v>
      </c>
      <c r="H110" s="6">
        <v>2</v>
      </c>
      <c r="I110" s="7">
        <v>5</v>
      </c>
      <c r="J110" s="28">
        <f t="shared" si="7"/>
        <v>340</v>
      </c>
      <c r="K110" s="28">
        <f t="shared" si="5"/>
        <v>3</v>
      </c>
      <c r="L110" s="34">
        <f t="shared" si="6"/>
        <v>204</v>
      </c>
    </row>
    <row r="111" spans="2:12" x14ac:dyDescent="0.3">
      <c r="B111" s="3">
        <v>19081106</v>
      </c>
      <c r="C111" s="3" t="s">
        <v>55</v>
      </c>
      <c r="D111" s="3" t="s">
        <v>15</v>
      </c>
      <c r="E111" s="3" t="s">
        <v>57</v>
      </c>
      <c r="F111" s="2">
        <v>26</v>
      </c>
      <c r="G111" s="2">
        <v>36</v>
      </c>
      <c r="H111" s="6">
        <v>2</v>
      </c>
      <c r="I111" s="7">
        <v>5</v>
      </c>
      <c r="J111" s="28">
        <f t="shared" si="7"/>
        <v>180</v>
      </c>
      <c r="K111" s="28">
        <f t="shared" si="5"/>
        <v>3</v>
      </c>
      <c r="L111" s="34">
        <f t="shared" si="6"/>
        <v>108</v>
      </c>
    </row>
    <row r="112" spans="2:12" x14ac:dyDescent="0.3">
      <c r="B112" s="3">
        <v>19081107</v>
      </c>
      <c r="C112" s="3" t="s">
        <v>55</v>
      </c>
      <c r="D112" s="3" t="s">
        <v>16</v>
      </c>
      <c r="E112" s="3" t="s">
        <v>57</v>
      </c>
      <c r="F112" s="2">
        <v>20</v>
      </c>
      <c r="G112" s="2">
        <v>19</v>
      </c>
      <c r="H112" s="6">
        <v>2</v>
      </c>
      <c r="I112" s="7">
        <v>5</v>
      </c>
      <c r="J112" s="28">
        <f t="shared" si="7"/>
        <v>95</v>
      </c>
      <c r="K112" s="28">
        <f t="shared" si="5"/>
        <v>3</v>
      </c>
      <c r="L112" s="34">
        <f t="shared" si="6"/>
        <v>57</v>
      </c>
    </row>
    <row r="113" spans="2:12" x14ac:dyDescent="0.3">
      <c r="B113" s="3">
        <v>19081108</v>
      </c>
      <c r="C113" s="3" t="s">
        <v>55</v>
      </c>
      <c r="D113" s="3" t="s">
        <v>19</v>
      </c>
      <c r="E113" s="3" t="s">
        <v>57</v>
      </c>
      <c r="F113" s="2">
        <v>18</v>
      </c>
      <c r="G113" s="2">
        <v>37</v>
      </c>
      <c r="H113" s="6">
        <v>2</v>
      </c>
      <c r="I113" s="7">
        <v>5</v>
      </c>
      <c r="J113" s="28">
        <f t="shared" si="7"/>
        <v>185</v>
      </c>
      <c r="K113" s="28">
        <f t="shared" si="5"/>
        <v>3</v>
      </c>
      <c r="L113" s="34">
        <f t="shared" si="6"/>
        <v>111</v>
      </c>
    </row>
    <row r="114" spans="2:12" x14ac:dyDescent="0.3">
      <c r="B114" s="3">
        <v>19081109</v>
      </c>
      <c r="C114" s="3" t="s">
        <v>55</v>
      </c>
      <c r="D114" s="3" t="s">
        <v>56</v>
      </c>
      <c r="E114" s="3" t="s">
        <v>57</v>
      </c>
      <c r="F114" s="2">
        <v>27</v>
      </c>
      <c r="G114" s="2">
        <v>40</v>
      </c>
      <c r="H114" s="6">
        <v>2</v>
      </c>
      <c r="I114" s="7">
        <v>5</v>
      </c>
      <c r="J114" s="28">
        <f t="shared" si="7"/>
        <v>200</v>
      </c>
      <c r="K114" s="28">
        <f t="shared" si="5"/>
        <v>3</v>
      </c>
      <c r="L114" s="34">
        <f t="shared" si="6"/>
        <v>120</v>
      </c>
    </row>
    <row r="115" spans="2:12" x14ac:dyDescent="0.3">
      <c r="B115" s="3">
        <v>19081110</v>
      </c>
      <c r="C115" s="3" t="s">
        <v>58</v>
      </c>
      <c r="D115" s="3" t="s">
        <v>51</v>
      </c>
      <c r="E115" s="3" t="s">
        <v>57</v>
      </c>
      <c r="F115" s="2">
        <v>17</v>
      </c>
      <c r="G115" s="2">
        <v>45</v>
      </c>
      <c r="H115" s="6">
        <v>0.5</v>
      </c>
      <c r="I115" s="6">
        <v>2</v>
      </c>
      <c r="J115" s="28">
        <f t="shared" si="7"/>
        <v>90</v>
      </c>
      <c r="K115" s="28">
        <f t="shared" si="5"/>
        <v>1.5</v>
      </c>
      <c r="L115" s="34">
        <f t="shared" si="6"/>
        <v>67.5</v>
      </c>
    </row>
    <row r="116" spans="2:12" x14ac:dyDescent="0.3">
      <c r="B116" s="3">
        <v>19081111</v>
      </c>
      <c r="C116" s="3" t="s">
        <v>58</v>
      </c>
      <c r="D116" s="3" t="s">
        <v>11</v>
      </c>
      <c r="E116" s="3" t="s">
        <v>57</v>
      </c>
      <c r="F116" s="2">
        <v>30</v>
      </c>
      <c r="G116" s="2">
        <v>39</v>
      </c>
      <c r="H116" s="6">
        <v>0.5</v>
      </c>
      <c r="I116" s="6">
        <v>2</v>
      </c>
      <c r="J116" s="28">
        <f t="shared" si="7"/>
        <v>78</v>
      </c>
      <c r="K116" s="28">
        <f t="shared" si="5"/>
        <v>1.5</v>
      </c>
      <c r="L116" s="34">
        <f t="shared" si="6"/>
        <v>58.5</v>
      </c>
    </row>
    <row r="117" spans="2:12" x14ac:dyDescent="0.3">
      <c r="B117" s="3">
        <v>19081112</v>
      </c>
      <c r="C117" s="3" t="s">
        <v>58</v>
      </c>
      <c r="D117" s="3" t="s">
        <v>15</v>
      </c>
      <c r="E117" s="3" t="s">
        <v>57</v>
      </c>
      <c r="F117" s="2">
        <v>12</v>
      </c>
      <c r="G117" s="2">
        <v>16</v>
      </c>
      <c r="H117" s="6">
        <v>0.5</v>
      </c>
      <c r="I117" s="6">
        <v>2</v>
      </c>
      <c r="J117" s="28">
        <f t="shared" si="7"/>
        <v>32</v>
      </c>
      <c r="K117" s="28">
        <f t="shared" si="5"/>
        <v>1.5</v>
      </c>
      <c r="L117" s="34">
        <f t="shared" si="6"/>
        <v>24</v>
      </c>
    </row>
    <row r="118" spans="2:12" x14ac:dyDescent="0.3">
      <c r="B118" s="3">
        <v>19081113</v>
      </c>
      <c r="C118" s="3" t="s">
        <v>58</v>
      </c>
      <c r="D118" s="3" t="s">
        <v>16</v>
      </c>
      <c r="E118" s="3" t="s">
        <v>57</v>
      </c>
      <c r="F118" s="2">
        <v>28</v>
      </c>
      <c r="G118" s="2">
        <v>33</v>
      </c>
      <c r="H118" s="6">
        <v>0.5</v>
      </c>
      <c r="I118" s="6">
        <v>2</v>
      </c>
      <c r="J118" s="28">
        <f t="shared" si="7"/>
        <v>66</v>
      </c>
      <c r="K118" s="28">
        <f t="shared" si="5"/>
        <v>1.5</v>
      </c>
      <c r="L118" s="34">
        <f t="shared" si="6"/>
        <v>49.5</v>
      </c>
    </row>
    <row r="119" spans="2:12" x14ac:dyDescent="0.3">
      <c r="B119" s="3">
        <v>19081114</v>
      </c>
      <c r="C119" s="3" t="s">
        <v>58</v>
      </c>
      <c r="D119" s="3" t="s">
        <v>13</v>
      </c>
      <c r="E119" s="3" t="s">
        <v>57</v>
      </c>
      <c r="F119" s="2">
        <v>14</v>
      </c>
      <c r="G119" s="2">
        <v>70</v>
      </c>
      <c r="H119" s="6">
        <v>0.5</v>
      </c>
      <c r="I119" s="6">
        <v>2</v>
      </c>
      <c r="J119" s="28">
        <f t="shared" si="7"/>
        <v>140</v>
      </c>
      <c r="K119" s="28">
        <f t="shared" si="5"/>
        <v>1.5</v>
      </c>
      <c r="L119" s="34">
        <f t="shared" si="6"/>
        <v>105</v>
      </c>
    </row>
    <row r="120" spans="2:12" x14ac:dyDescent="0.3">
      <c r="B120" s="3">
        <v>19081115</v>
      </c>
      <c r="C120" s="3" t="s">
        <v>58</v>
      </c>
      <c r="D120" s="3" t="s">
        <v>12</v>
      </c>
      <c r="E120" s="3" t="s">
        <v>57</v>
      </c>
      <c r="F120" s="2">
        <v>9</v>
      </c>
      <c r="G120" s="2">
        <v>34</v>
      </c>
      <c r="H120" s="6">
        <v>0.5</v>
      </c>
      <c r="I120" s="6">
        <v>2</v>
      </c>
      <c r="J120" s="28">
        <f t="shared" si="7"/>
        <v>68</v>
      </c>
      <c r="K120" s="28">
        <f t="shared" si="5"/>
        <v>1.5</v>
      </c>
      <c r="L120" s="34">
        <f t="shared" si="6"/>
        <v>51</v>
      </c>
    </row>
    <row r="121" spans="2:12" x14ac:dyDescent="0.3">
      <c r="B121" s="3">
        <v>19081116</v>
      </c>
      <c r="C121" s="3" t="s">
        <v>58</v>
      </c>
      <c r="D121" s="3" t="s">
        <v>14</v>
      </c>
      <c r="E121" s="3" t="s">
        <v>57</v>
      </c>
      <c r="F121" s="2">
        <v>16</v>
      </c>
      <c r="G121" s="2">
        <v>48</v>
      </c>
      <c r="H121" s="6">
        <v>0.5</v>
      </c>
      <c r="I121" s="6">
        <v>2</v>
      </c>
      <c r="J121" s="28">
        <f t="shared" si="7"/>
        <v>96</v>
      </c>
      <c r="K121" s="28">
        <f t="shared" si="5"/>
        <v>1.5</v>
      </c>
      <c r="L121" s="34">
        <f t="shared" si="6"/>
        <v>72</v>
      </c>
    </row>
    <row r="122" spans="2:12" x14ac:dyDescent="0.3">
      <c r="B122" s="3">
        <v>19081117</v>
      </c>
      <c r="C122" s="3" t="s">
        <v>58</v>
      </c>
      <c r="D122" s="3" t="s">
        <v>20</v>
      </c>
      <c r="E122" s="3" t="s">
        <v>57</v>
      </c>
      <c r="F122" s="2">
        <v>19</v>
      </c>
      <c r="G122" s="2">
        <v>58</v>
      </c>
      <c r="H122" s="6">
        <v>0.5</v>
      </c>
      <c r="I122" s="6">
        <v>2</v>
      </c>
      <c r="J122" s="28">
        <f t="shared" si="7"/>
        <v>116</v>
      </c>
      <c r="K122" s="28">
        <f t="shared" si="5"/>
        <v>1.5</v>
      </c>
      <c r="L122" s="34">
        <f t="shared" si="6"/>
        <v>87</v>
      </c>
    </row>
    <row r="123" spans="2:12" x14ac:dyDescent="0.3">
      <c r="B123" s="3">
        <v>19081118</v>
      </c>
      <c r="C123" s="3" t="s">
        <v>58</v>
      </c>
      <c r="D123" s="3" t="s">
        <v>24</v>
      </c>
      <c r="E123" s="3" t="s">
        <v>57</v>
      </c>
      <c r="F123" s="2">
        <v>19</v>
      </c>
      <c r="G123" s="2">
        <v>52</v>
      </c>
      <c r="H123" s="6">
        <v>0.5</v>
      </c>
      <c r="I123" s="6">
        <v>2</v>
      </c>
      <c r="J123" s="28">
        <f t="shared" si="7"/>
        <v>104</v>
      </c>
      <c r="K123" s="28">
        <f t="shared" si="5"/>
        <v>1.5</v>
      </c>
      <c r="L123" s="34">
        <f t="shared" si="6"/>
        <v>78</v>
      </c>
    </row>
    <row r="124" spans="2:12" x14ac:dyDescent="0.3">
      <c r="B124" s="2"/>
      <c r="C124" s="2"/>
      <c r="D124" s="2"/>
      <c r="E124" s="2"/>
      <c r="F124" s="2"/>
      <c r="G124" s="2"/>
      <c r="H124" s="7"/>
      <c r="I124" s="7"/>
    </row>
  </sheetData>
  <autoFilter ref="B5:L123"/>
  <mergeCells count="1">
    <mergeCell ref="B4:J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zoomScale="98" zoomScaleNormal="98" workbookViewId="0">
      <selection activeCell="E23" sqref="E23"/>
    </sheetView>
  </sheetViews>
  <sheetFormatPr baseColWidth="10" defaultColWidth="11.44140625" defaultRowHeight="14.4" x14ac:dyDescent="0.3"/>
  <cols>
    <col min="1" max="1" width="21.109375" bestFit="1" customWidth="1"/>
    <col min="2" max="2" width="12.5546875" bestFit="1" customWidth="1"/>
    <col min="4" max="4" width="21.109375" bestFit="1" customWidth="1"/>
    <col min="5" max="5" width="14.88671875" customWidth="1"/>
    <col min="7" max="7" width="21.109375" bestFit="1" customWidth="1"/>
    <col min="8" max="8" width="14.88671875" bestFit="1" customWidth="1"/>
  </cols>
  <sheetData>
    <row r="2" spans="1:8" ht="15" x14ac:dyDescent="0.25">
      <c r="A2" s="64" t="s">
        <v>62</v>
      </c>
      <c r="B2" s="64"/>
      <c r="C2" s="64"/>
      <c r="D2" s="64"/>
      <c r="E2" s="64"/>
      <c r="F2" s="64"/>
      <c r="G2" s="64"/>
      <c r="H2" s="64"/>
    </row>
    <row r="3" spans="1:8" ht="15.75" thickBot="1" x14ac:dyDescent="0.3">
      <c r="A3" s="62" t="s">
        <v>63</v>
      </c>
      <c r="B3" s="62"/>
      <c r="D3" s="63" t="s">
        <v>69</v>
      </c>
      <c r="E3" s="63"/>
      <c r="G3" s="63" t="s">
        <v>78</v>
      </c>
      <c r="H3" s="63"/>
    </row>
    <row r="4" spans="1:8" ht="15.75" thickBot="1" x14ac:dyDescent="0.3">
      <c r="A4" s="33" t="s">
        <v>74</v>
      </c>
      <c r="B4" s="33" t="s">
        <v>75</v>
      </c>
      <c r="D4" s="33" t="s">
        <v>74</v>
      </c>
      <c r="E4" s="33" t="s">
        <v>75</v>
      </c>
      <c r="G4" s="36" t="s">
        <v>79</v>
      </c>
      <c r="H4" t="s">
        <v>81</v>
      </c>
    </row>
    <row r="5" spans="1:8" ht="15.75" thickBot="1" x14ac:dyDescent="0.3">
      <c r="A5" s="27" t="s">
        <v>43</v>
      </c>
      <c r="B5" s="31">
        <v>4468</v>
      </c>
      <c r="D5" s="27" t="s">
        <v>43</v>
      </c>
      <c r="E5" s="31">
        <f ca="1">SUMIF('Base de datos'!C6:C124,"Boligrafo",'Base de datos'!J6:J123)</f>
        <v>4468</v>
      </c>
      <c r="G5" s="37" t="s">
        <v>43</v>
      </c>
      <c r="H5" s="34">
        <v>4468</v>
      </c>
    </row>
    <row r="6" spans="1:8" ht="15.75" thickBot="1" x14ac:dyDescent="0.3">
      <c r="A6" s="27" t="s">
        <v>22</v>
      </c>
      <c r="B6" s="31">
        <v>2693</v>
      </c>
      <c r="D6" s="27" t="s">
        <v>22</v>
      </c>
      <c r="E6" s="31">
        <f ca="1">SUMIF('Base de datos'!C7:C125,"Borrador de goma",'Base de datos'!J7:J124)</f>
        <v>2693</v>
      </c>
      <c r="G6" s="37" t="s">
        <v>22</v>
      </c>
      <c r="H6" s="34">
        <v>2693</v>
      </c>
    </row>
    <row r="7" spans="1:8" ht="15.75" thickBot="1" x14ac:dyDescent="0.3">
      <c r="A7" s="27" t="s">
        <v>76</v>
      </c>
      <c r="B7" s="31">
        <v>4519</v>
      </c>
      <c r="D7" s="27" t="s">
        <v>76</v>
      </c>
      <c r="E7" s="31">
        <f ca="1">SUMIF('Base de datos'!C8:C126,"Borrador de migajon ",'Base de datos'!J8:J125)</f>
        <v>4519</v>
      </c>
      <c r="G7" s="37" t="s">
        <v>23</v>
      </c>
      <c r="H7" s="34">
        <v>4519</v>
      </c>
    </row>
    <row r="8" spans="1:8" ht="15.75" thickBot="1" x14ac:dyDescent="0.3">
      <c r="A8" s="27" t="s">
        <v>41</v>
      </c>
      <c r="B8" s="31">
        <v>53622</v>
      </c>
      <c r="D8" s="27" t="s">
        <v>41</v>
      </c>
      <c r="E8" s="31">
        <f ca="1">SUMIF('Base de datos'!C9:C127,"Caja de colores 24pz",'Base de datos'!J9:J126)</f>
        <v>53622</v>
      </c>
      <c r="G8" s="37" t="s">
        <v>41</v>
      </c>
      <c r="H8" s="34">
        <v>53622</v>
      </c>
    </row>
    <row r="9" spans="1:8" ht="15.75" thickBot="1" x14ac:dyDescent="0.3">
      <c r="A9" s="27" t="s">
        <v>55</v>
      </c>
      <c r="B9" s="31">
        <v>1840</v>
      </c>
      <c r="D9" s="27" t="s">
        <v>55</v>
      </c>
      <c r="E9" s="31">
        <f ca="1">SUMIF('Base de datos'!C10:C128,"Cartulina",'Base de datos'!J10:J127)</f>
        <v>1840</v>
      </c>
      <c r="G9" s="37" t="s">
        <v>55</v>
      </c>
      <c r="H9" s="34">
        <v>1840</v>
      </c>
    </row>
    <row r="10" spans="1:8" ht="15.75" thickBot="1" x14ac:dyDescent="0.3">
      <c r="A10" s="27" t="s">
        <v>58</v>
      </c>
      <c r="B10" s="31">
        <v>790</v>
      </c>
      <c r="D10" s="27" t="s">
        <v>58</v>
      </c>
      <c r="E10" s="31">
        <f ca="1">SUMIF('Base de datos'!C11:C129,"Hoja",'Base de datos'!J11:J128)</f>
        <v>790</v>
      </c>
      <c r="G10" s="37" t="s">
        <v>58</v>
      </c>
      <c r="H10" s="34">
        <v>790</v>
      </c>
    </row>
    <row r="11" spans="1:8" ht="15" thickBot="1" x14ac:dyDescent="0.35">
      <c r="A11" s="27" t="s">
        <v>34</v>
      </c>
      <c r="B11" s="31">
        <v>1414</v>
      </c>
      <c r="D11" s="27" t="s">
        <v>34</v>
      </c>
      <c r="E11" s="31">
        <f ca="1">SUMIF('Base de datos'!C12:C130,"Lápiz",'Base de datos'!J12:J129)</f>
        <v>1414</v>
      </c>
      <c r="G11" s="37" t="s">
        <v>34</v>
      </c>
      <c r="H11" s="34">
        <v>1414</v>
      </c>
    </row>
    <row r="12" spans="1:8" ht="15.75" thickBot="1" x14ac:dyDescent="0.3">
      <c r="A12" s="27" t="s">
        <v>52</v>
      </c>
      <c r="B12" s="31">
        <v>38430</v>
      </c>
      <c r="D12" s="27" t="s">
        <v>52</v>
      </c>
      <c r="E12" s="31">
        <f ca="1">SUMIF('Base de datos'!C13:C131,"Libreta de Cuadros",'Base de datos'!J13:J130)</f>
        <v>38430</v>
      </c>
      <c r="G12" s="37" t="s">
        <v>52</v>
      </c>
      <c r="H12" s="34">
        <v>38430</v>
      </c>
    </row>
    <row r="13" spans="1:8" ht="15.75" thickBot="1" x14ac:dyDescent="0.3">
      <c r="A13" s="27" t="s">
        <v>53</v>
      </c>
      <c r="B13" s="31">
        <v>44495</v>
      </c>
      <c r="D13" s="27" t="s">
        <v>53</v>
      </c>
      <c r="E13" s="31">
        <f ca="1">SUMIF('Base de datos'!C14:C132,"Libreta de Rayas",'Base de datos'!J14:J131)</f>
        <v>44495</v>
      </c>
      <c r="G13" s="37" t="s">
        <v>53</v>
      </c>
      <c r="H13" s="34">
        <v>44495</v>
      </c>
    </row>
    <row r="14" spans="1:8" ht="15.75" thickBot="1" x14ac:dyDescent="0.3">
      <c r="A14" s="27" t="s">
        <v>29</v>
      </c>
      <c r="B14" s="31">
        <v>4203</v>
      </c>
      <c r="D14" s="27" t="s">
        <v>29</v>
      </c>
      <c r="E14" s="31">
        <f ca="1">SUMIF('Base de datos'!C15:C133,"Pegamento en barra",'Base de datos'!J15:J132)</f>
        <v>4203</v>
      </c>
      <c r="G14" s="37" t="s">
        <v>29</v>
      </c>
      <c r="H14" s="34">
        <v>4203</v>
      </c>
    </row>
    <row r="15" spans="1:8" ht="15.75" thickBot="1" x14ac:dyDescent="0.3">
      <c r="A15" s="27" t="s">
        <v>28</v>
      </c>
      <c r="B15" s="31">
        <v>6320</v>
      </c>
      <c r="D15" s="27" t="s">
        <v>28</v>
      </c>
      <c r="E15" s="31">
        <f ca="1">SUMIF('Base de datos'!C16:C134,"Pegamento liquido",'Base de datos'!J16:J133)</f>
        <v>6320</v>
      </c>
      <c r="G15" s="37" t="s">
        <v>28</v>
      </c>
      <c r="H15" s="34">
        <v>6320</v>
      </c>
    </row>
    <row r="16" spans="1:8" ht="15.75" thickBot="1" x14ac:dyDescent="0.3">
      <c r="A16" s="27" t="s">
        <v>46</v>
      </c>
      <c r="B16" s="31">
        <v>8115</v>
      </c>
      <c r="D16" s="27" t="s">
        <v>46</v>
      </c>
      <c r="E16" s="31">
        <f ca="1">SUMIF('Base de datos'!C17:C135,"Pintura Acrilica",'Base de datos'!J17:J134)</f>
        <v>8115</v>
      </c>
      <c r="G16" s="37" t="s">
        <v>46</v>
      </c>
      <c r="H16" s="34">
        <v>8115</v>
      </c>
    </row>
    <row r="17" spans="1:8" ht="15.75" thickBot="1" x14ac:dyDescent="0.3">
      <c r="A17" s="27" t="s">
        <v>39</v>
      </c>
      <c r="B17" s="31">
        <v>11530</v>
      </c>
      <c r="D17" s="27" t="s">
        <v>39</v>
      </c>
      <c r="E17" s="31">
        <f ca="1">SUMIF('Base de datos'!C18:C136,"Plumon para pizarron",'Base de datos'!J18:J135)</f>
        <v>11530</v>
      </c>
      <c r="G17" s="37" t="s">
        <v>39</v>
      </c>
      <c r="H17" s="34">
        <v>11530</v>
      </c>
    </row>
    <row r="18" spans="1:8" ht="15.75" thickBot="1" x14ac:dyDescent="0.3">
      <c r="A18" s="29" t="s">
        <v>10</v>
      </c>
      <c r="B18" s="32">
        <v>8991</v>
      </c>
      <c r="D18" s="29" t="s">
        <v>10</v>
      </c>
      <c r="E18" s="31">
        <f>SUMIF('Base de datos'!C6:C18,"Sacapuntas de plastico",'Base de datos'!J6:J18)</f>
        <v>8991</v>
      </c>
      <c r="G18" s="37" t="s">
        <v>10</v>
      </c>
      <c r="H18" s="34">
        <v>8991</v>
      </c>
    </row>
    <row r="19" spans="1:8" ht="15.75" thickBot="1" x14ac:dyDescent="0.3">
      <c r="A19" s="38" t="s">
        <v>67</v>
      </c>
      <c r="B19" s="39">
        <f>SUM(B5:B18)</f>
        <v>191430</v>
      </c>
      <c r="D19" s="38" t="s">
        <v>67</v>
      </c>
      <c r="E19" s="39">
        <f ca="1">SUM(E5:E18)</f>
        <v>191430</v>
      </c>
      <c r="G19" s="37" t="s">
        <v>80</v>
      </c>
      <c r="H19" s="34">
        <v>191430</v>
      </c>
    </row>
  </sheetData>
  <mergeCells count="4">
    <mergeCell ref="A3:B3"/>
    <mergeCell ref="D3:E3"/>
    <mergeCell ref="G3:H3"/>
    <mergeCell ref="A2:H2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4"/>
  <sheetViews>
    <sheetView topLeftCell="A30" zoomScale="70" zoomScaleNormal="70" workbookViewId="0">
      <selection activeCell="H13" sqref="H13"/>
    </sheetView>
  </sheetViews>
  <sheetFormatPr baseColWidth="10" defaultColWidth="11.44140625" defaultRowHeight="14.4" x14ac:dyDescent="0.3"/>
  <cols>
    <col min="2" max="2" width="6.33203125" customWidth="1"/>
    <col min="3" max="3" width="24.109375" customWidth="1"/>
    <col min="4" max="4" width="23.33203125" customWidth="1"/>
    <col min="5" max="5" width="21.33203125" customWidth="1"/>
  </cols>
  <sheetData>
    <row r="2" spans="2:6" ht="15" x14ac:dyDescent="0.25">
      <c r="B2" s="41"/>
      <c r="C2" s="41"/>
      <c r="D2" s="41"/>
      <c r="E2" s="41"/>
    </row>
    <row r="4" spans="2:6" ht="23.25" x14ac:dyDescent="0.35">
      <c r="C4" s="68" t="s">
        <v>59</v>
      </c>
      <c r="D4" s="68"/>
      <c r="E4" s="68"/>
      <c r="F4" s="68"/>
    </row>
    <row r="5" spans="2:6" ht="15" x14ac:dyDescent="0.25">
      <c r="C5" s="26"/>
      <c r="D5" s="26"/>
      <c r="E5" s="26"/>
      <c r="F5" s="26"/>
    </row>
    <row r="6" spans="2:6" ht="15" x14ac:dyDescent="0.25">
      <c r="C6" s="40"/>
      <c r="D6" s="40"/>
      <c r="E6" s="40"/>
      <c r="F6" s="40"/>
    </row>
    <row r="7" spans="2:6" ht="29.25" thickBot="1" x14ac:dyDescent="0.5">
      <c r="C7" s="69" t="s">
        <v>82</v>
      </c>
      <c r="D7" s="69"/>
      <c r="E7" s="69"/>
      <c r="F7" s="35"/>
    </row>
    <row r="8" spans="2:6" ht="24" thickBot="1" x14ac:dyDescent="0.4">
      <c r="C8" s="42" t="s">
        <v>74</v>
      </c>
      <c r="D8" s="43" t="s">
        <v>83</v>
      </c>
      <c r="E8" s="44" t="s">
        <v>84</v>
      </c>
    </row>
    <row r="9" spans="2:6" ht="23.25" x14ac:dyDescent="0.35">
      <c r="C9" s="45" t="s">
        <v>85</v>
      </c>
      <c r="D9" s="46">
        <v>570</v>
      </c>
      <c r="E9" s="47">
        <v>2850</v>
      </c>
    </row>
    <row r="10" spans="2:6" ht="23.25" x14ac:dyDescent="0.35">
      <c r="C10" s="45" t="s">
        <v>86</v>
      </c>
      <c r="D10" s="46">
        <v>168</v>
      </c>
      <c r="E10" s="48">
        <v>1133</v>
      </c>
    </row>
    <row r="11" spans="2:6" ht="23.25" x14ac:dyDescent="0.35">
      <c r="C11" s="45" t="s">
        <v>87</v>
      </c>
      <c r="D11" s="46">
        <v>95</v>
      </c>
      <c r="E11" s="48">
        <v>1724</v>
      </c>
    </row>
    <row r="12" spans="2:6" ht="23.4" x14ac:dyDescent="0.45">
      <c r="C12" s="45" t="s">
        <v>88</v>
      </c>
      <c r="D12" s="46">
        <v>164</v>
      </c>
      <c r="E12" s="48">
        <v>1115</v>
      </c>
    </row>
    <row r="13" spans="2:6" ht="23.25" x14ac:dyDescent="0.35">
      <c r="C13" s="45" t="s">
        <v>89</v>
      </c>
      <c r="D13" s="46">
        <v>215</v>
      </c>
      <c r="E13" s="48">
        <v>1658</v>
      </c>
    </row>
    <row r="14" spans="2:6" ht="23.4" x14ac:dyDescent="0.45">
      <c r="C14" s="45" t="s">
        <v>34</v>
      </c>
      <c r="D14" s="46">
        <v>224</v>
      </c>
      <c r="E14" s="46">
        <v>515</v>
      </c>
    </row>
    <row r="15" spans="2:6" ht="23.25" x14ac:dyDescent="0.35">
      <c r="C15" s="45" t="s">
        <v>90</v>
      </c>
      <c r="D15" s="46">
        <v>348</v>
      </c>
      <c r="E15" s="48">
        <v>3480</v>
      </c>
    </row>
    <row r="16" spans="2:6" ht="23.25" x14ac:dyDescent="0.35">
      <c r="C16" s="45" t="s">
        <v>91</v>
      </c>
      <c r="D16" s="46">
        <v>345</v>
      </c>
      <c r="E16" s="48">
        <v>5142</v>
      </c>
    </row>
    <row r="17" spans="3:5" ht="23.4" x14ac:dyDescent="0.45">
      <c r="C17" s="45" t="s">
        <v>92</v>
      </c>
      <c r="D17" s="46">
        <v>430</v>
      </c>
      <c r="E17" s="48">
        <v>1216</v>
      </c>
    </row>
    <row r="18" spans="3:5" ht="23.4" x14ac:dyDescent="0.45">
      <c r="C18" s="45" t="s">
        <v>93</v>
      </c>
      <c r="D18" s="46">
        <v>541</v>
      </c>
      <c r="E18" s="48">
        <v>2705</v>
      </c>
    </row>
    <row r="19" spans="3:5" ht="23.25" x14ac:dyDescent="0.35">
      <c r="C19" s="45" t="s">
        <v>53</v>
      </c>
      <c r="D19" s="46">
        <v>669</v>
      </c>
      <c r="E19" s="48">
        <v>15305</v>
      </c>
    </row>
    <row r="20" spans="3:5" ht="23.25" x14ac:dyDescent="0.35">
      <c r="C20" s="45" t="s">
        <v>52</v>
      </c>
      <c r="D20" s="46">
        <v>590</v>
      </c>
      <c r="E20" s="48">
        <v>13295</v>
      </c>
    </row>
    <row r="21" spans="3:5" ht="23.25" x14ac:dyDescent="0.35">
      <c r="C21" s="45" t="s">
        <v>55</v>
      </c>
      <c r="D21" s="46">
        <v>368</v>
      </c>
      <c r="E21" s="48">
        <v>1104</v>
      </c>
    </row>
    <row r="22" spans="3:5" ht="23.25" x14ac:dyDescent="0.35">
      <c r="C22" s="45" t="s">
        <v>58</v>
      </c>
      <c r="D22" s="46">
        <v>395</v>
      </c>
      <c r="E22" s="48">
        <v>592</v>
      </c>
    </row>
    <row r="24" spans="3:5" ht="18.75" x14ac:dyDescent="0.3">
      <c r="D24" s="54" t="s">
        <v>101</v>
      </c>
      <c r="E24" s="57">
        <v>51834.5</v>
      </c>
    </row>
    <row r="27" spans="3:5" ht="27" thickBot="1" x14ac:dyDescent="0.45">
      <c r="C27" s="65" t="s">
        <v>94</v>
      </c>
      <c r="D27" s="66"/>
      <c r="E27" s="66"/>
    </row>
    <row r="28" spans="3:5" ht="24" thickBot="1" x14ac:dyDescent="0.4">
      <c r="C28" s="42" t="s">
        <v>74</v>
      </c>
      <c r="D28" s="43" t="s">
        <v>83</v>
      </c>
      <c r="E28" s="44" t="s">
        <v>84</v>
      </c>
    </row>
    <row r="29" spans="3:5" ht="23.25" x14ac:dyDescent="0.35">
      <c r="C29" s="45" t="s">
        <v>85</v>
      </c>
      <c r="D29" s="46">
        <f>SUM('Base de datos'!G6:G18)</f>
        <v>570</v>
      </c>
      <c r="E29" s="47">
        <f>SUM('Base de datos'!L6:L18)</f>
        <v>2850</v>
      </c>
    </row>
    <row r="30" spans="3:5" ht="23.25" x14ac:dyDescent="0.35">
      <c r="C30" s="45" t="s">
        <v>86</v>
      </c>
      <c r="D30" s="46">
        <f>SUM('Base de datos'!G19:G22)</f>
        <v>168</v>
      </c>
      <c r="E30" s="47">
        <f>SUM('Base de datos'!L19:L22)</f>
        <v>1133</v>
      </c>
    </row>
    <row r="31" spans="3:5" ht="23.25" x14ac:dyDescent="0.35">
      <c r="C31" s="45" t="s">
        <v>87</v>
      </c>
      <c r="D31" s="46">
        <f>SUM('Base de datos'!G23:G25)</f>
        <v>95</v>
      </c>
      <c r="E31" s="47">
        <f>SUM('Base de datos'!L23:L25)</f>
        <v>1724</v>
      </c>
    </row>
    <row r="32" spans="3:5" ht="23.4" x14ac:dyDescent="0.45">
      <c r="C32" s="45" t="s">
        <v>88</v>
      </c>
      <c r="D32" s="46">
        <f>SUM('Base de datos'!G26:G29)</f>
        <v>164</v>
      </c>
      <c r="E32" s="47">
        <f>SUM('Base de datos'!L26:L29)</f>
        <v>1115</v>
      </c>
    </row>
    <row r="33" spans="3:5" ht="23.25" x14ac:dyDescent="0.35">
      <c r="C33" s="45" t="s">
        <v>89</v>
      </c>
      <c r="D33" s="46">
        <f>SUM('Base de datos'!G30:G33)</f>
        <v>215</v>
      </c>
      <c r="E33" s="47">
        <f>SUM('Base de datos'!L30:L33)</f>
        <v>1658</v>
      </c>
    </row>
    <row r="34" spans="3:5" ht="23.4" x14ac:dyDescent="0.45">
      <c r="C34" s="45" t="s">
        <v>34</v>
      </c>
      <c r="D34" s="46">
        <f>SUM('Base de datos'!G34:G38)</f>
        <v>224</v>
      </c>
      <c r="E34" s="47">
        <f>SUM('Base de datos'!L34:L38)</f>
        <v>515</v>
      </c>
    </row>
    <row r="35" spans="3:5" ht="23.25" x14ac:dyDescent="0.35">
      <c r="C35" s="45" t="s">
        <v>90</v>
      </c>
      <c r="D35" s="46">
        <f>SUM('Base de datos'!G39:G46)</f>
        <v>348</v>
      </c>
      <c r="E35" s="47">
        <f>SUM('Base de datos'!L39:L46)</f>
        <v>3480</v>
      </c>
    </row>
    <row r="36" spans="3:5" ht="23.25" x14ac:dyDescent="0.35">
      <c r="C36" s="45" t="s">
        <v>91</v>
      </c>
      <c r="D36" s="46">
        <f>SUM('Base de datos'!G47:G53)</f>
        <v>345</v>
      </c>
      <c r="E36" s="47">
        <f>SUM('Base de datos'!L47:L53)</f>
        <v>5142</v>
      </c>
    </row>
    <row r="37" spans="3:5" ht="23.4" x14ac:dyDescent="0.45">
      <c r="C37" s="45" t="s">
        <v>92</v>
      </c>
      <c r="D37" s="46">
        <f>SUM('Base de datos'!G54:G65)</f>
        <v>430</v>
      </c>
      <c r="E37" s="47">
        <f>SUM('Base de datos'!L54:L65)</f>
        <v>1216</v>
      </c>
    </row>
    <row r="38" spans="3:5" ht="23.4" x14ac:dyDescent="0.45">
      <c r="C38" s="45" t="s">
        <v>93</v>
      </c>
      <c r="D38" s="46">
        <f>SUM('Base de datos'!G66:G76)</f>
        <v>541</v>
      </c>
      <c r="E38" s="47">
        <f>SUM('Base de datos'!L66:L76)</f>
        <v>2705</v>
      </c>
    </row>
    <row r="39" spans="3:5" ht="23.25" x14ac:dyDescent="0.35">
      <c r="C39" s="45" t="s">
        <v>53</v>
      </c>
      <c r="D39" s="46">
        <f>SUM('Base de datos'!G77:G91)</f>
        <v>669</v>
      </c>
      <c r="E39" s="47">
        <f>SUM('Base de datos'!L77:L91)</f>
        <v>15305</v>
      </c>
    </row>
    <row r="40" spans="3:5" ht="23.25" x14ac:dyDescent="0.35">
      <c r="C40" s="45" t="s">
        <v>52</v>
      </c>
      <c r="D40" s="46">
        <f>SUM('Base de datos'!G92:G106)</f>
        <v>590</v>
      </c>
      <c r="E40" s="47">
        <f>SUM('Base de datos'!L92:L106)</f>
        <v>13295</v>
      </c>
    </row>
    <row r="41" spans="3:5" ht="23.25" x14ac:dyDescent="0.35">
      <c r="C41" s="45" t="s">
        <v>55</v>
      </c>
      <c r="D41" s="46">
        <f>SUM('Base de datos'!G107:G114)</f>
        <v>368</v>
      </c>
      <c r="E41" s="47">
        <f>SUM('Base de datos'!L107:L114)</f>
        <v>1104</v>
      </c>
    </row>
    <row r="42" spans="3:5" ht="23.25" x14ac:dyDescent="0.35">
      <c r="C42" s="45" t="s">
        <v>58</v>
      </c>
      <c r="D42" s="46">
        <f>SUM('Base de datos'!G115:G123)</f>
        <v>395</v>
      </c>
      <c r="E42" s="47">
        <f>SUM('Base de datos'!L115:L123)</f>
        <v>592.5</v>
      </c>
    </row>
    <row r="44" spans="3:5" ht="15.75" x14ac:dyDescent="0.25">
      <c r="D44" s="56" t="s">
        <v>100</v>
      </c>
      <c r="E44" s="55">
        <f>SUM(E29:E42)</f>
        <v>51834.5</v>
      </c>
    </row>
    <row r="47" spans="3:5" ht="23.4" x14ac:dyDescent="0.45">
      <c r="C47" s="67" t="s">
        <v>97</v>
      </c>
      <c r="D47" s="66"/>
      <c r="E47" s="66"/>
    </row>
    <row r="49" spans="3:5" ht="15.75" x14ac:dyDescent="0.25">
      <c r="C49" s="52" t="s">
        <v>70</v>
      </c>
      <c r="D49" s="53" t="s">
        <v>98</v>
      </c>
      <c r="E49" s="53" t="s">
        <v>99</v>
      </c>
    </row>
    <row r="50" spans="3:5" ht="15.6" x14ac:dyDescent="0.3">
      <c r="C50" s="50" t="s">
        <v>92</v>
      </c>
      <c r="D50" s="51">
        <v>430</v>
      </c>
      <c r="E50" s="51">
        <v>1216</v>
      </c>
    </row>
    <row r="51" spans="3:5" ht="15.75" x14ac:dyDescent="0.25">
      <c r="C51" s="50" t="s">
        <v>86</v>
      </c>
      <c r="D51" s="51">
        <v>168</v>
      </c>
      <c r="E51" s="51">
        <v>1133</v>
      </c>
    </row>
    <row r="52" spans="3:5" ht="15.75" x14ac:dyDescent="0.25">
      <c r="C52" s="50" t="s">
        <v>87</v>
      </c>
      <c r="D52" s="51">
        <v>95</v>
      </c>
      <c r="E52" s="51">
        <v>1724</v>
      </c>
    </row>
    <row r="53" spans="3:5" ht="15.75" x14ac:dyDescent="0.25">
      <c r="C53" s="50" t="s">
        <v>91</v>
      </c>
      <c r="D53" s="51">
        <v>345</v>
      </c>
      <c r="E53" s="51">
        <v>5142</v>
      </c>
    </row>
    <row r="54" spans="3:5" ht="15.75" x14ac:dyDescent="0.25">
      <c r="C54" s="50" t="s">
        <v>55</v>
      </c>
      <c r="D54" s="51">
        <v>368</v>
      </c>
      <c r="E54" s="51">
        <v>1104</v>
      </c>
    </row>
    <row r="55" spans="3:5" ht="15.75" x14ac:dyDescent="0.25">
      <c r="C55" s="50" t="s">
        <v>58</v>
      </c>
      <c r="D55" s="51">
        <v>395</v>
      </c>
      <c r="E55" s="51">
        <v>592.5</v>
      </c>
    </row>
    <row r="56" spans="3:5" ht="15.6" x14ac:dyDescent="0.3">
      <c r="C56" s="50" t="s">
        <v>34</v>
      </c>
      <c r="D56" s="51">
        <v>224</v>
      </c>
      <c r="E56" s="51">
        <v>515</v>
      </c>
    </row>
    <row r="57" spans="3:5" ht="15.75" x14ac:dyDescent="0.25">
      <c r="C57" s="50" t="s">
        <v>52</v>
      </c>
      <c r="D57" s="51">
        <v>590</v>
      </c>
      <c r="E57" s="51">
        <v>13295</v>
      </c>
    </row>
    <row r="58" spans="3:5" ht="15.6" x14ac:dyDescent="0.3">
      <c r="C58" s="50" t="s">
        <v>53</v>
      </c>
      <c r="D58" s="51">
        <v>669</v>
      </c>
      <c r="E58" s="51">
        <v>15305</v>
      </c>
    </row>
    <row r="59" spans="3:5" ht="15.6" x14ac:dyDescent="0.3">
      <c r="C59" s="50" t="s">
        <v>89</v>
      </c>
      <c r="D59" s="51">
        <v>215</v>
      </c>
      <c r="E59" s="51">
        <v>1658</v>
      </c>
    </row>
    <row r="60" spans="3:5" ht="15.6" x14ac:dyDescent="0.3">
      <c r="C60" s="50" t="s">
        <v>88</v>
      </c>
      <c r="D60" s="51">
        <v>164</v>
      </c>
      <c r="E60" s="51">
        <v>1115</v>
      </c>
    </row>
    <row r="61" spans="3:5" ht="15.6" x14ac:dyDescent="0.3">
      <c r="C61" s="50" t="s">
        <v>93</v>
      </c>
      <c r="D61" s="51">
        <v>541</v>
      </c>
      <c r="E61" s="51">
        <v>2705</v>
      </c>
    </row>
    <row r="62" spans="3:5" ht="15.6" x14ac:dyDescent="0.3">
      <c r="C62" s="50" t="s">
        <v>90</v>
      </c>
      <c r="D62" s="51">
        <v>348</v>
      </c>
      <c r="E62" s="51">
        <v>3480</v>
      </c>
    </row>
    <row r="63" spans="3:5" ht="15.6" x14ac:dyDescent="0.3">
      <c r="C63" s="50" t="s">
        <v>85</v>
      </c>
      <c r="D63" s="51">
        <v>570</v>
      </c>
      <c r="E63" s="51">
        <v>2850</v>
      </c>
    </row>
    <row r="64" spans="3:5" ht="15.6" x14ac:dyDescent="0.3">
      <c r="C64" s="50" t="s">
        <v>71</v>
      </c>
      <c r="D64" s="51">
        <v>5122</v>
      </c>
      <c r="E64" s="51">
        <v>51834.5</v>
      </c>
    </row>
  </sheetData>
  <mergeCells count="4">
    <mergeCell ref="C27:E27"/>
    <mergeCell ref="C47:E47"/>
    <mergeCell ref="C4:F4"/>
    <mergeCell ref="C7:E7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6"/>
  <sheetViews>
    <sheetView tabSelected="1" topLeftCell="A2" workbookViewId="0">
      <selection activeCell="K18" sqref="K18"/>
    </sheetView>
  </sheetViews>
  <sheetFormatPr baseColWidth="10" defaultColWidth="11.44140625" defaultRowHeight="14.4" x14ac:dyDescent="0.3"/>
  <cols>
    <col min="12" max="12" width="18.44140625" customWidth="1"/>
    <col min="13" max="13" width="18.88671875" bestFit="1" customWidth="1"/>
  </cols>
  <sheetData>
    <row r="2" spans="2:14" ht="15" x14ac:dyDescent="0.25">
      <c r="B2" s="64" t="s">
        <v>60</v>
      </c>
      <c r="C2" s="64"/>
      <c r="D2" s="64"/>
      <c r="E2" s="64"/>
    </row>
    <row r="4" spans="2:14" ht="16.2" thickBot="1" x14ac:dyDescent="0.35">
      <c r="B4" s="70" t="s">
        <v>63</v>
      </c>
      <c r="C4" s="70"/>
      <c r="D4" s="70"/>
      <c r="G4" s="70" t="s">
        <v>69</v>
      </c>
      <c r="H4" s="70"/>
      <c r="I4" s="70"/>
      <c r="L4" s="70" t="s">
        <v>113</v>
      </c>
      <c r="M4" s="70"/>
      <c r="N4" s="70"/>
    </row>
    <row r="5" spans="2:14" ht="16.2" thickBot="1" x14ac:dyDescent="0.35">
      <c r="B5" s="75" t="s">
        <v>3</v>
      </c>
      <c r="C5" s="76" t="s">
        <v>102</v>
      </c>
      <c r="D5" s="27"/>
      <c r="G5" s="75" t="s">
        <v>3</v>
      </c>
      <c r="H5" s="76" t="s">
        <v>102</v>
      </c>
      <c r="I5" s="27"/>
      <c r="L5" s="59" t="s">
        <v>70</v>
      </c>
      <c r="M5" s="58" t="s">
        <v>114</v>
      </c>
    </row>
    <row r="6" spans="2:14" ht="16.2" thickBot="1" x14ac:dyDescent="0.35">
      <c r="B6" s="77" t="s">
        <v>45</v>
      </c>
      <c r="C6" s="77">
        <v>24</v>
      </c>
      <c r="G6" s="77" t="s">
        <v>45</v>
      </c>
      <c r="H6" s="77">
        <f>SUMIF('Base de datos'!E6:E123,"Azor",'Base de datos'!F6:F123)</f>
        <v>24</v>
      </c>
      <c r="L6" s="50" t="s">
        <v>45</v>
      </c>
      <c r="M6" s="51">
        <v>24</v>
      </c>
    </row>
    <row r="7" spans="2:14" ht="16.2" thickBot="1" x14ac:dyDescent="0.35">
      <c r="B7" s="77" t="s">
        <v>103</v>
      </c>
      <c r="C7" s="77">
        <v>12</v>
      </c>
      <c r="G7" s="77" t="s">
        <v>103</v>
      </c>
      <c r="H7" s="77">
        <f>SUMIF('Base de datos'!E6:E123,"Barrilito",'Base de datos'!F6:F123)</f>
        <v>12</v>
      </c>
      <c r="L7" s="50" t="s">
        <v>115</v>
      </c>
      <c r="M7" s="51">
        <v>12</v>
      </c>
    </row>
    <row r="8" spans="2:14" ht="16.2" thickBot="1" x14ac:dyDescent="0.35">
      <c r="B8" s="77" t="s">
        <v>104</v>
      </c>
      <c r="C8" s="77">
        <v>114</v>
      </c>
      <c r="G8" s="77" t="s">
        <v>104</v>
      </c>
      <c r="H8" s="77">
        <f>SUMIF('Base de datos'!E7:E124,"Bic",'Base de datos'!F7:F124)</f>
        <v>114</v>
      </c>
      <c r="L8" s="50" t="s">
        <v>37</v>
      </c>
      <c r="M8" s="51">
        <v>114</v>
      </c>
    </row>
    <row r="9" spans="2:14" ht="16.2" thickBot="1" x14ac:dyDescent="0.35">
      <c r="B9" s="77" t="s">
        <v>105</v>
      </c>
      <c r="C9" s="77">
        <v>40</v>
      </c>
      <c r="G9" s="77" t="s">
        <v>105</v>
      </c>
      <c r="H9" s="77">
        <f>SUMIF('Base de datos'!E8:E125,"Bully",'Base de datos'!F8:F125)</f>
        <v>40</v>
      </c>
      <c r="L9" s="50" t="s">
        <v>31</v>
      </c>
      <c r="M9" s="51">
        <v>40</v>
      </c>
    </row>
    <row r="10" spans="2:14" ht="16.2" thickBot="1" x14ac:dyDescent="0.35">
      <c r="B10" s="77" t="s">
        <v>106</v>
      </c>
      <c r="C10" s="77">
        <v>17</v>
      </c>
      <c r="G10" s="77" t="s">
        <v>106</v>
      </c>
      <c r="H10" s="77">
        <f>SUMIF('Base de datos'!E9:E126,"Crayola",'Base de datos'!F9:F126)</f>
        <v>17</v>
      </c>
      <c r="L10" s="50" t="s">
        <v>42</v>
      </c>
      <c r="M10" s="51">
        <v>17</v>
      </c>
    </row>
    <row r="11" spans="2:14" ht="16.2" thickBot="1" x14ac:dyDescent="0.35">
      <c r="B11" s="77" t="s">
        <v>107</v>
      </c>
      <c r="C11" s="77">
        <v>54</v>
      </c>
      <c r="G11" s="77" t="s">
        <v>107</v>
      </c>
      <c r="H11" s="77">
        <f>SUMIF('Base de datos'!E10:E127,"Dixon",'Base de datos'!F10:F127)</f>
        <v>54</v>
      </c>
      <c r="L11" s="50" t="s">
        <v>32</v>
      </c>
      <c r="M11" s="51">
        <v>54</v>
      </c>
    </row>
    <row r="12" spans="2:14" ht="16.2" thickBot="1" x14ac:dyDescent="0.35">
      <c r="B12" s="77" t="s">
        <v>30</v>
      </c>
      <c r="C12" s="77">
        <v>29</v>
      </c>
      <c r="G12" s="77" t="s">
        <v>30</v>
      </c>
      <c r="H12" s="77">
        <f>SUMIF('Base de datos'!E11:E128,"Elmer's",'Base de datos'!F11:F128)</f>
        <v>29</v>
      </c>
      <c r="L12" s="50" t="s">
        <v>30</v>
      </c>
      <c r="M12" s="51">
        <v>29</v>
      </c>
    </row>
    <row r="13" spans="2:14" ht="16.2" thickBot="1" x14ac:dyDescent="0.35">
      <c r="B13" s="77" t="s">
        <v>40</v>
      </c>
      <c r="C13" s="77">
        <v>65</v>
      </c>
      <c r="G13" s="77" t="s">
        <v>40</v>
      </c>
      <c r="H13" s="77">
        <f>SUMIF('Base de datos'!E12:E129,"Expo",'Base de datos'!F12:F129)</f>
        <v>65</v>
      </c>
      <c r="L13" s="50" t="s">
        <v>40</v>
      </c>
      <c r="M13" s="51">
        <v>65</v>
      </c>
    </row>
    <row r="14" spans="2:14" ht="16.2" thickBot="1" x14ac:dyDescent="0.35">
      <c r="B14" s="77" t="s">
        <v>108</v>
      </c>
      <c r="C14" s="77">
        <v>25</v>
      </c>
      <c r="G14" s="80" t="s">
        <v>108</v>
      </c>
      <c r="H14" s="77">
        <f>SUMIF('Base de datos'!E13:E130,"FaberCastell",'Base de datos'!F13:F130)</f>
        <v>25</v>
      </c>
      <c r="L14" s="50" t="s">
        <v>27</v>
      </c>
      <c r="M14" s="51">
        <v>25</v>
      </c>
    </row>
    <row r="15" spans="2:14" ht="16.2" thickBot="1" x14ac:dyDescent="0.35">
      <c r="B15" s="77" t="s">
        <v>38</v>
      </c>
      <c r="C15" s="77">
        <v>103</v>
      </c>
      <c r="G15" s="77" t="s">
        <v>38</v>
      </c>
      <c r="H15" s="77">
        <f>SUMIF('Base de datos'!E14:E131,"Magistral",'Base de datos'!F14:F131)</f>
        <v>103</v>
      </c>
      <c r="L15" s="50" t="s">
        <v>38</v>
      </c>
      <c r="M15" s="51">
        <v>103</v>
      </c>
    </row>
    <row r="16" spans="2:14" ht="16.2" thickBot="1" x14ac:dyDescent="0.35">
      <c r="B16" s="77" t="s">
        <v>18</v>
      </c>
      <c r="C16" s="77">
        <v>128</v>
      </c>
      <c r="G16" s="77" t="s">
        <v>18</v>
      </c>
      <c r="H16" s="82">
        <f>SUMIF('Base de datos'!E6:E123,"Maped",'Base de datos'!F6:F123)</f>
        <v>128</v>
      </c>
      <c r="L16" s="50" t="s">
        <v>18</v>
      </c>
      <c r="M16" s="51">
        <v>128</v>
      </c>
    </row>
    <row r="17" spans="2:13" ht="16.2" thickBot="1" x14ac:dyDescent="0.35">
      <c r="B17" s="77" t="s">
        <v>109</v>
      </c>
      <c r="C17" s="82">
        <v>304</v>
      </c>
      <c r="G17" s="77" t="s">
        <v>109</v>
      </c>
      <c r="H17" s="77">
        <f>SUMIF('Base de datos'!E6:E123,"Norma",'Base de datos'!F6:F123)</f>
        <v>304</v>
      </c>
      <c r="L17" s="50" t="s">
        <v>21</v>
      </c>
      <c r="M17" s="51">
        <v>304</v>
      </c>
    </row>
    <row r="18" spans="2:13" ht="16.2" thickBot="1" x14ac:dyDescent="0.35">
      <c r="B18" s="80" t="s">
        <v>36</v>
      </c>
      <c r="C18" s="77">
        <v>65</v>
      </c>
      <c r="G18" s="80" t="s">
        <v>36</v>
      </c>
      <c r="H18" s="77">
        <f>SUMIF('Base de datos'!E17:E134,"Papper Mate",'Base de datos'!F17:F134)</f>
        <v>65</v>
      </c>
      <c r="L18" s="50" t="s">
        <v>36</v>
      </c>
      <c r="M18" s="51">
        <v>65</v>
      </c>
    </row>
    <row r="19" spans="2:13" ht="16.2" thickBot="1" x14ac:dyDescent="0.35">
      <c r="B19" s="77" t="s">
        <v>17</v>
      </c>
      <c r="C19" s="82">
        <v>104</v>
      </c>
      <c r="G19" s="77" t="s">
        <v>17</v>
      </c>
      <c r="H19" s="77">
        <v>104</v>
      </c>
      <c r="L19" s="50" t="s">
        <v>17</v>
      </c>
      <c r="M19" s="51">
        <v>104</v>
      </c>
    </row>
    <row r="20" spans="2:13" ht="16.2" thickBot="1" x14ac:dyDescent="0.35">
      <c r="B20" s="77" t="s">
        <v>44</v>
      </c>
      <c r="C20" s="77">
        <v>50</v>
      </c>
      <c r="G20" s="77" t="s">
        <v>44</v>
      </c>
      <c r="H20" s="77">
        <f>SUMIF('Base de datos'!E19:E136,"Pilot",'Base de datos'!F19:F136)</f>
        <v>50</v>
      </c>
      <c r="L20" s="50" t="s">
        <v>44</v>
      </c>
      <c r="M20" s="51">
        <v>50</v>
      </c>
    </row>
    <row r="21" spans="2:13" ht="16.2" thickBot="1" x14ac:dyDescent="0.35">
      <c r="B21" s="77" t="s">
        <v>50</v>
      </c>
      <c r="C21" s="77">
        <v>168</v>
      </c>
      <c r="G21" s="77" t="s">
        <v>50</v>
      </c>
      <c r="H21" s="77">
        <f>SUMIF('Base de datos'!E20:E137,"Politec",'Base de datos'!F20:F137)</f>
        <v>168</v>
      </c>
      <c r="L21" s="50" t="s">
        <v>50</v>
      </c>
      <c r="M21" s="51">
        <v>168</v>
      </c>
    </row>
    <row r="22" spans="2:13" ht="16.2" thickBot="1" x14ac:dyDescent="0.35">
      <c r="B22" s="77" t="s">
        <v>26</v>
      </c>
      <c r="C22" s="82">
        <v>56</v>
      </c>
      <c r="G22" s="77" t="s">
        <v>26</v>
      </c>
      <c r="H22" s="77">
        <f>SUMIF('Base de datos'!E21:E138,"Prismacolor",'Base de datos'!F21:F138)</f>
        <v>56</v>
      </c>
      <c r="L22" s="50" t="s">
        <v>26</v>
      </c>
      <c r="M22" s="51">
        <v>56</v>
      </c>
    </row>
    <row r="23" spans="2:13" ht="16.2" thickBot="1" x14ac:dyDescent="0.35">
      <c r="B23" s="77" t="s">
        <v>110</v>
      </c>
      <c r="C23" s="77">
        <v>36</v>
      </c>
      <c r="G23" s="77" t="s">
        <v>110</v>
      </c>
      <c r="H23" s="82">
        <f>SUMIF('Base de datos'!E22:E139,"Resistol",'Base de datos'!F22:F139)</f>
        <v>36</v>
      </c>
      <c r="L23" s="50" t="s">
        <v>33</v>
      </c>
      <c r="M23" s="51">
        <v>36</v>
      </c>
    </row>
    <row r="24" spans="2:13" ht="16.2" thickBot="1" x14ac:dyDescent="0.35">
      <c r="B24" s="81" t="s">
        <v>111</v>
      </c>
      <c r="C24" s="77">
        <v>214</v>
      </c>
      <c r="G24" s="77" t="s">
        <v>111</v>
      </c>
      <c r="H24" s="77">
        <v>214</v>
      </c>
      <c r="L24" s="50" t="s">
        <v>54</v>
      </c>
      <c r="M24" s="51">
        <v>214</v>
      </c>
    </row>
    <row r="25" spans="2:13" ht="16.2" thickBot="1" x14ac:dyDescent="0.35">
      <c r="B25" s="77" t="s">
        <v>57</v>
      </c>
      <c r="C25" s="77">
        <v>332</v>
      </c>
      <c r="G25" s="77" t="s">
        <v>57</v>
      </c>
      <c r="H25" s="77">
        <f>SUMIF('Base de datos'!E6:E123,"Tony",'Base de datos'!F6:F123)</f>
        <v>332</v>
      </c>
      <c r="L25" s="50" t="s">
        <v>57</v>
      </c>
      <c r="M25" s="51">
        <v>332</v>
      </c>
    </row>
    <row r="26" spans="2:13" ht="16.2" thickBot="1" x14ac:dyDescent="0.35">
      <c r="B26" s="78" t="s">
        <v>112</v>
      </c>
      <c r="C26" s="79">
        <f>SUM(C6:C25)</f>
        <v>1940</v>
      </c>
      <c r="G26" s="78" t="s">
        <v>112</v>
      </c>
      <c r="H26" s="79">
        <f>SUM(H6:H25)</f>
        <v>1940</v>
      </c>
      <c r="L26" s="50" t="s">
        <v>71</v>
      </c>
      <c r="M26" s="51">
        <v>1940</v>
      </c>
    </row>
  </sheetData>
  <mergeCells count="4">
    <mergeCell ref="B2:E2"/>
    <mergeCell ref="B4:D4"/>
    <mergeCell ref="G4:I4"/>
    <mergeCell ref="L4:N4"/>
  </mergeCells>
  <pageMargins left="0.7" right="0.7" top="0.75" bottom="0.75" header="0.3" footer="0.3"/>
  <pageSetup paperSize="9" orientation="portrait" horizontalDpi="4294967295" verticalDpi="4294967295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workbookViewId="0">
      <selection activeCell="G16" sqref="G16"/>
    </sheetView>
  </sheetViews>
  <sheetFormatPr baseColWidth="10" defaultColWidth="11.44140625" defaultRowHeight="14.4" x14ac:dyDescent="0.3"/>
  <sheetData>
    <row r="2" spans="2:5" x14ac:dyDescent="0.25">
      <c r="B2" s="12" t="s">
        <v>61</v>
      </c>
      <c r="C2" s="12"/>
      <c r="D2" s="12"/>
      <c r="E2" s="12"/>
    </row>
    <row r="23" spans="7:7" x14ac:dyDescent="0.25">
      <c r="G2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5"/>
  <sheetViews>
    <sheetView topLeftCell="A4" zoomScale="134" workbookViewId="0">
      <selection activeCell="C14" sqref="C14"/>
    </sheetView>
  </sheetViews>
  <sheetFormatPr baseColWidth="10" defaultColWidth="11.44140625" defaultRowHeight="14.4" x14ac:dyDescent="0.3"/>
  <cols>
    <col min="2" max="2" width="18" bestFit="1" customWidth="1"/>
    <col min="3" max="3" width="22.109375" bestFit="1" customWidth="1"/>
    <col min="4" max="4" width="11.88671875" bestFit="1" customWidth="1"/>
  </cols>
  <sheetData>
    <row r="2" spans="2:5" ht="15" x14ac:dyDescent="0.25">
      <c r="B2" s="64" t="s">
        <v>68</v>
      </c>
      <c r="C2" s="64"/>
      <c r="D2" s="64"/>
      <c r="E2" s="19"/>
    </row>
    <row r="4" spans="2:5" ht="15" x14ac:dyDescent="0.25">
      <c r="B4" s="21"/>
      <c r="C4" s="21"/>
      <c r="D4" s="21"/>
    </row>
    <row r="5" spans="2:5" ht="15" x14ac:dyDescent="0.25">
      <c r="B5" s="71" t="s">
        <v>63</v>
      </c>
      <c r="C5" s="71"/>
      <c r="D5" s="71"/>
    </row>
    <row r="6" spans="2:5" ht="15" x14ac:dyDescent="0.25">
      <c r="B6" s="14" t="s">
        <v>64</v>
      </c>
      <c r="C6" s="14" t="s">
        <v>66</v>
      </c>
      <c r="D6" s="14" t="s">
        <v>65</v>
      </c>
    </row>
    <row r="7" spans="2:5" ht="15" x14ac:dyDescent="0.25">
      <c r="B7" s="13" t="s">
        <v>53</v>
      </c>
      <c r="C7" s="13">
        <v>669</v>
      </c>
      <c r="D7" s="16">
        <f>C7 * 1/C9</f>
        <v>0.53137410643367755</v>
      </c>
    </row>
    <row r="8" spans="2:5" ht="15" x14ac:dyDescent="0.25">
      <c r="B8" s="13" t="s">
        <v>52</v>
      </c>
      <c r="C8" s="13">
        <v>590</v>
      </c>
      <c r="D8" s="16">
        <f>C8 * 1/C9</f>
        <v>0.4686258935663225</v>
      </c>
    </row>
    <row r="9" spans="2:5" ht="15" x14ac:dyDescent="0.25">
      <c r="B9" s="14" t="s">
        <v>67</v>
      </c>
      <c r="C9" s="17">
        <f>SUM(C7:C8)</f>
        <v>1259</v>
      </c>
      <c r="D9" s="18">
        <f>SUM(D7:D8)</f>
        <v>1</v>
      </c>
    </row>
    <row r="10" spans="2:5" ht="15" x14ac:dyDescent="0.25">
      <c r="B10" s="15"/>
      <c r="C10" s="15"/>
      <c r="D10" s="15"/>
    </row>
    <row r="11" spans="2:5" ht="15" x14ac:dyDescent="0.25">
      <c r="B11" s="1"/>
      <c r="C11" s="1"/>
      <c r="D11" s="1"/>
    </row>
    <row r="12" spans="2:5" ht="15" x14ac:dyDescent="0.25">
      <c r="B12" s="72" t="s">
        <v>69</v>
      </c>
      <c r="C12" s="72"/>
      <c r="D12" s="72"/>
    </row>
    <row r="13" spans="2:5" ht="15" x14ac:dyDescent="0.25">
      <c r="B13" s="14" t="s">
        <v>64</v>
      </c>
      <c r="C13" s="14" t="s">
        <v>66</v>
      </c>
      <c r="D13" s="14" t="s">
        <v>65</v>
      </c>
    </row>
    <row r="14" spans="2:5" ht="15" x14ac:dyDescent="0.25">
      <c r="B14" s="13" t="s">
        <v>53</v>
      </c>
      <c r="C14" s="13">
        <f>SUMIF('Base de datos'!C6:C123,"Libreta de Rayas",'Base de datos'!G6:G123)</f>
        <v>669</v>
      </c>
      <c r="D14" s="16">
        <f xml:space="preserve"> C14/C16</f>
        <v>0.53137410643367755</v>
      </c>
    </row>
    <row r="15" spans="2:5" ht="15" x14ac:dyDescent="0.25">
      <c r="B15" s="13" t="s">
        <v>52</v>
      </c>
      <c r="C15" s="13">
        <f>SUMIF('Base de datos'!C6:C123,"Libreta de Cuadros",'Base de datos'!G6:G123)</f>
        <v>590</v>
      </c>
      <c r="D15" s="16">
        <f>C15/C16</f>
        <v>0.4686258935663225</v>
      </c>
    </row>
    <row r="16" spans="2:5" ht="15" x14ac:dyDescent="0.25">
      <c r="B16" s="20" t="s">
        <v>67</v>
      </c>
      <c r="C16" s="4">
        <f>SUM(C14:C15)</f>
        <v>1259</v>
      </c>
      <c r="D16" s="22">
        <f>SUM(D14:D15)</f>
        <v>1</v>
      </c>
    </row>
    <row r="20" spans="2:11" x14ac:dyDescent="0.3">
      <c r="B20" s="73" t="s">
        <v>73</v>
      </c>
      <c r="C20" s="74"/>
    </row>
    <row r="21" spans="2:11" ht="15" x14ac:dyDescent="0.25">
      <c r="B21" s="23" t="s">
        <v>70</v>
      </c>
      <c r="C21" s="2" t="s">
        <v>72</v>
      </c>
    </row>
    <row r="22" spans="2:11" ht="15" x14ac:dyDescent="0.25">
      <c r="B22" s="24" t="s">
        <v>52</v>
      </c>
      <c r="C22" s="25">
        <v>0.4686258935663225</v>
      </c>
    </row>
    <row r="23" spans="2:11" ht="15" x14ac:dyDescent="0.25">
      <c r="B23" s="24" t="s">
        <v>53</v>
      </c>
      <c r="C23" s="25">
        <v>0.53137410643367755</v>
      </c>
    </row>
    <row r="24" spans="2:11" x14ac:dyDescent="0.3">
      <c r="B24" s="24" t="s">
        <v>71</v>
      </c>
      <c r="C24" s="25">
        <v>1</v>
      </c>
    </row>
    <row r="25" spans="2:11" x14ac:dyDescent="0.3">
      <c r="K25" t="s">
        <v>7</v>
      </c>
    </row>
  </sheetData>
  <mergeCells count="4">
    <mergeCell ref="B5:D5"/>
    <mergeCell ref="B2:D2"/>
    <mergeCell ref="B12:D12"/>
    <mergeCell ref="B20:C20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 de datos</vt:lpstr>
      <vt:lpstr>Reporte 1</vt:lpstr>
      <vt:lpstr>Reporte 2</vt:lpstr>
      <vt:lpstr>Reporte 3</vt:lpstr>
      <vt:lpstr>Reporte 4</vt:lpstr>
      <vt:lpstr>Reporte 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DELL</cp:lastModifiedBy>
  <dcterms:created xsi:type="dcterms:W3CDTF">2021-05-18T14:49:13Z</dcterms:created>
  <dcterms:modified xsi:type="dcterms:W3CDTF">2021-05-19T21:55:39Z</dcterms:modified>
</cp:coreProperties>
</file>